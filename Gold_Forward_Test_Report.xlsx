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drawings/drawing1.xml" ContentType="application/vnd.openxmlformats-officedocument.drawing+xml"/>
  <Override PartName="/xl/worksheets/sheet4.xml" ContentType="application/vnd.openxmlformats-officedocument.spreadsheetml.worksheet+xml"/>
  <Override PartName="/xl/drawings/drawing2.xml" ContentType="application/vnd.openxmlformats-officedocument.drawing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ummary" sheetId="1" state="visible" r:id="rId1"/>
    <sheet name="Trade Log" sheetId="2" state="visible" r:id="rId2"/>
    <sheet name="Portfolio Value" sheetId="3" state="visible" r:id="rId3"/>
    <sheet name="Daily Performance" sheetId="4" state="visible" r:id="rId4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#,##0.00;(#,##0.00);&quot;-&quot;"/>
    <numFmt numFmtId="165" formatCode="#,##0.0000"/>
  </numFmts>
  <fonts count="14">
    <font>
      <name val="Calibri"/>
      <family val="2"/>
      <color theme="1"/>
      <sz val="11"/>
      <scheme val="minor"/>
    </font>
    <font>
      <name val="Arial"/>
      <b val="1"/>
      <color rgb="001a1a1a"/>
      <sz val="16"/>
    </font>
    <font>
      <name val="Arial"/>
      <color rgb="00666666"/>
      <sz val="10"/>
    </font>
    <font>
      <name val="Arial"/>
      <b val="1"/>
      <color rgb="002C3E50"/>
      <sz val="11"/>
    </font>
    <font>
      <name val="Arial"/>
      <sz val="11"/>
    </font>
    <font>
      <name val="Arial"/>
      <b val="1"/>
      <color rgb="001a6b1a"/>
      <sz val="12"/>
    </font>
    <font>
      <name val="Arial"/>
      <b val="1"/>
      <sz val="11"/>
    </font>
    <font>
      <name val="Arial"/>
      <b val="1"/>
      <color rgb="00FFFFFF"/>
      <sz val="11"/>
    </font>
    <font>
      <name val="Arial"/>
      <sz val="10"/>
    </font>
    <font>
      <name val="Arial"/>
      <b val="1"/>
      <color rgb="001a6b1a"/>
      <sz val="10"/>
    </font>
    <font>
      <name val="Arial"/>
      <b val="1"/>
      <color rgb="00CC0000"/>
      <sz val="10"/>
    </font>
    <font>
      <name val="Arial"/>
      <b val="1"/>
      <color rgb="00336699"/>
      <sz val="10"/>
    </font>
    <font>
      <name val="Arial"/>
      <color rgb="001a6b1a"/>
      <sz val="10"/>
    </font>
    <font>
      <name val="Arial"/>
      <color rgb="00CC0000"/>
      <sz val="10"/>
    </font>
  </fonts>
  <fills count="6">
    <fill>
      <patternFill/>
    </fill>
    <fill>
      <patternFill patternType="gray125"/>
    </fill>
    <fill>
      <patternFill patternType="solid">
        <fgColor rgb="002C3E50"/>
      </patternFill>
    </fill>
    <fill>
      <patternFill patternType="solid">
        <fgColor rgb="00E8F5E9"/>
      </patternFill>
    </fill>
    <fill>
      <patternFill patternType="solid">
        <fgColor rgb="00FFEBEE"/>
      </patternFill>
    </fill>
    <fill>
      <patternFill patternType="solid">
        <fgColor rgb="00F7F9FC"/>
      </patternFill>
    </fill>
  </fills>
  <borders count="2">
    <border>
      <left/>
      <right/>
      <top/>
      <bottom/>
      <diagonal/>
    </border>
    <border>
      <left style="thin">
        <color rgb="00CCCCCC"/>
      </left>
      <right style="thin">
        <color rgb="00CCCCCC"/>
      </right>
      <top style="thin">
        <color rgb="00CCCCCC"/>
      </top>
      <bottom style="thin">
        <color rgb="00CCCCCC"/>
      </bottom>
    </border>
  </borders>
  <cellStyleXfs count="1">
    <xf numFmtId="0" fontId="0" fillId="0" borderId="0"/>
  </cellStyleXfs>
  <cellXfs count="41">
    <xf numFmtId="0" fontId="0" fillId="0" borderId="0" pivotButton="0" quotePrefix="0" xfId="0"/>
    <xf numFmtId="0" fontId="1" fillId="0" borderId="0" applyAlignment="1" pivotButton="0" quotePrefix="0" xfId="0">
      <alignment horizontal="left"/>
    </xf>
    <xf numFmtId="0" fontId="2" fillId="0" borderId="0" pivotButton="0" quotePrefix="0" xfId="0"/>
    <xf numFmtId="0" fontId="3" fillId="0" borderId="1" pivotButton="0" quotePrefix="0" xfId="0"/>
    <xf numFmtId="4" fontId="4" fillId="0" borderId="1" pivotButton="0" quotePrefix="0" xfId="0"/>
    <xf numFmtId="0" fontId="4" fillId="0" borderId="1" pivotButton="0" quotePrefix="0" xfId="0"/>
    <xf numFmtId="0" fontId="5" fillId="0" borderId="0" pivotButton="0" quotePrefix="0" xfId="0"/>
    <xf numFmtId="4" fontId="5" fillId="0" borderId="1" pivotButton="0" quotePrefix="0" xfId="0"/>
    <xf numFmtId="0" fontId="3" fillId="0" borderId="0" pivotButton="0" quotePrefix="0" xfId="0"/>
    <xf numFmtId="164" fontId="6" fillId="0" borderId="1" pivotButton="0" quotePrefix="0" xfId="0"/>
    <xf numFmtId="10" fontId="6" fillId="0" borderId="1" pivotButton="0" quotePrefix="0" xfId="0"/>
    <xf numFmtId="0" fontId="4" fillId="0" borderId="0" pivotButton="0" quotePrefix="0" xfId="0"/>
    <xf numFmtId="0" fontId="7" fillId="2" borderId="1" applyAlignment="1" pivotButton="0" quotePrefix="0" xfId="0">
      <alignment horizontal="center" vertical="center"/>
    </xf>
    <xf numFmtId="0" fontId="8" fillId="3" borderId="1" applyAlignment="1" pivotButton="0" quotePrefix="0" xfId="0">
      <alignment horizontal="center"/>
    </xf>
    <xf numFmtId="0" fontId="9" fillId="3" borderId="1" applyAlignment="1" pivotButton="0" quotePrefix="0" xfId="0">
      <alignment horizontal="center"/>
    </xf>
    <xf numFmtId="4" fontId="8" fillId="3" borderId="1" applyAlignment="1" pivotButton="0" quotePrefix="0" xfId="0">
      <alignment horizontal="center"/>
    </xf>
    <xf numFmtId="165" fontId="8" fillId="3" borderId="1" applyAlignment="1" pivotButton="0" quotePrefix="0" xfId="0">
      <alignment horizontal="center"/>
    </xf>
    <xf numFmtId="0" fontId="8" fillId="4" borderId="1" applyAlignment="1" pivotButton="0" quotePrefix="0" xfId="0">
      <alignment horizontal="center"/>
    </xf>
    <xf numFmtId="0" fontId="10" fillId="4" borderId="1" applyAlignment="1" pivotButton="0" quotePrefix="0" xfId="0">
      <alignment horizontal="center"/>
    </xf>
    <xf numFmtId="4" fontId="8" fillId="4" borderId="1" applyAlignment="1" pivotButton="0" quotePrefix="0" xfId="0">
      <alignment horizontal="center"/>
    </xf>
    <xf numFmtId="165" fontId="8" fillId="4" borderId="1" applyAlignment="1" pivotButton="0" quotePrefix="0" xfId="0">
      <alignment horizontal="center"/>
    </xf>
    <xf numFmtId="0" fontId="7" fillId="2" borderId="1" applyAlignment="1" pivotButton="0" quotePrefix="0" xfId="0">
      <alignment horizontal="center"/>
    </xf>
    <xf numFmtId="0" fontId="8" fillId="0" borderId="0" pivotButton="0" quotePrefix="0" xfId="0"/>
    <xf numFmtId="0" fontId="11" fillId="0" borderId="0" pivotButton="0" quotePrefix="0" xfId="0"/>
    <xf numFmtId="4" fontId="8" fillId="0" borderId="0" pivotButton="0" quotePrefix="0" xfId="0"/>
    <xf numFmtId="0" fontId="9" fillId="0" borderId="0" pivotButton="0" quotePrefix="0" xfId="0"/>
    <xf numFmtId="0" fontId="10" fillId="0" borderId="0" pivotButton="0" quotePrefix="0" xfId="0"/>
    <xf numFmtId="0" fontId="8" fillId="5" borderId="1" applyAlignment="1" pivotButton="0" quotePrefix="0" xfId="0">
      <alignment horizontal="center"/>
    </xf>
    <xf numFmtId="4" fontId="8" fillId="5" borderId="1" applyAlignment="1" pivotButton="0" quotePrefix="0" xfId="0">
      <alignment horizontal="center"/>
    </xf>
    <xf numFmtId="165" fontId="8" fillId="5" borderId="1" applyAlignment="1" pivotButton="0" quotePrefix="0" xfId="0">
      <alignment horizontal="center"/>
    </xf>
    <xf numFmtId="164" fontId="12" fillId="5" borderId="1" applyAlignment="1" pivotButton="0" quotePrefix="0" xfId="0">
      <alignment horizontal="center"/>
    </xf>
    <xf numFmtId="10" fontId="12" fillId="5" borderId="1" applyAlignment="1" pivotButton="0" quotePrefix="0" xfId="0">
      <alignment horizontal="center"/>
    </xf>
    <xf numFmtId="0" fontId="8" fillId="0" borderId="1" applyAlignment="1" pivotButton="0" quotePrefix="0" xfId="0">
      <alignment horizontal="center"/>
    </xf>
    <xf numFmtId="4" fontId="8" fillId="0" borderId="1" applyAlignment="1" pivotButton="0" quotePrefix="0" xfId="0">
      <alignment horizontal="center"/>
    </xf>
    <xf numFmtId="165" fontId="8" fillId="0" borderId="1" applyAlignment="1" pivotButton="0" quotePrefix="0" xfId="0">
      <alignment horizontal="center"/>
    </xf>
    <xf numFmtId="164" fontId="12" fillId="0" borderId="1" applyAlignment="1" pivotButton="0" quotePrefix="0" xfId="0">
      <alignment horizontal="center"/>
    </xf>
    <xf numFmtId="10" fontId="12" fillId="0" borderId="1" applyAlignment="1" pivotButton="0" quotePrefix="0" xfId="0">
      <alignment horizontal="center"/>
    </xf>
    <xf numFmtId="164" fontId="13" fillId="5" borderId="1" applyAlignment="1" pivotButton="0" quotePrefix="0" xfId="0">
      <alignment horizontal="center"/>
    </xf>
    <xf numFmtId="10" fontId="13" fillId="5" borderId="1" applyAlignment="1" pivotButton="0" quotePrefix="0" xfId="0">
      <alignment horizontal="center"/>
    </xf>
    <xf numFmtId="164" fontId="13" fillId="0" borderId="1" applyAlignment="1" pivotButton="0" quotePrefix="0" xfId="0">
      <alignment horizontal="center"/>
    </xf>
    <xf numFmtId="10" fontId="13" fillId="0" borderId="1" applyAlignment="1" pivotButton="0" quotePrefix="0" xfId="0">
      <alignment horizont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styles" Target="styles.xml" Id="rId5" /><Relationship Type="http://schemas.openxmlformats.org/officeDocument/2006/relationships/theme" Target="theme/theme1.xml" Id="rId6" /></Relationships>
</file>

<file path=xl/charts/chart1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Portfolio Value Over Trades</a:t>
            </a:r>
          </a:p>
        </rich>
      </tx>
    </title>
    <plotArea>
      <lineChart>
        <grouping val="standard"/>
        <ser>
          <idx val="0"/>
          <order val="0"/>
          <tx>
            <strRef>
              <f>'Portfolio Value'!D1</f>
            </strRef>
          </tx>
          <spPr>
            <a:ln w="25000"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'Portfolio Value'!$A$2:$A$17</f>
            </numRef>
          </cat>
          <val>
            <numRef>
              <f>'Portfolio Value'!$D$2:$D$17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Trade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THB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Daily Portfolio Value</a:t>
            </a:r>
          </a:p>
        </rich>
      </tx>
    </title>
    <plotArea>
      <lineChart>
        <grouping val="standard"/>
        <ser>
          <idx val="0"/>
          <order val="0"/>
          <tx>
            <strRef>
              <f>'Daily Performance'!G1</f>
            </strRef>
          </tx>
          <spPr>
            <a:ln w="25000"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'Daily Performance'!$B$2:$B$59</f>
            </numRef>
          </cat>
          <val>
            <numRef>
              <f>'Daily Performance'!$G$2:$G$59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Date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THB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3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Cumulative Return (%)</a:t>
            </a:r>
          </a:p>
        </rich>
      </tx>
    </title>
    <plotArea>
      <lineChart>
        <grouping val="standard"/>
        <ser>
          <idx val="0"/>
          <order val="0"/>
          <tx>
            <strRef>
              <f>'Daily Performance'!I1</f>
            </strRef>
          </tx>
          <spPr>
            <a:ln w="25000"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'Daily Performance'!$B$2:$B$59</f>
            </numRef>
          </cat>
          <val>
            <numRef>
              <f>'Daily Performance'!$I$2:$I$59</f>
            </numRef>
          </val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%</a:t>
                </a:r>
              </a:p>
            </rich>
          </tx>
        </title>
        <numFmt formatCode="0.00%" sourceLinked="0"/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Relationship Type="http://schemas.openxmlformats.org/officeDocument/2006/relationships/chart" Target="/xl/charts/chart3.xml" Id="rId2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5</col>
      <colOff>0</colOff>
      <row>1</row>
      <rowOff>0</rowOff>
    </from>
    <ext cx="7920000" cy="50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14</col>
      <colOff>0</colOff>
      <row>1</row>
      <rowOff>0</rowOff>
    </from>
    <ext cx="10080000" cy="50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14</col>
      <colOff>0</colOff>
      <row>17</row>
      <rowOff>0</rowOff>
    </from>
    <ext cx="10080000" cy="504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3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_rels/sheet4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sheet1.xml><?xml version="1.0" encoding="utf-8"?>
<worksheet xmlns="http://schemas.openxmlformats.org/spreadsheetml/2006/main">
  <sheetPr>
    <tabColor rgb="00FFD700"/>
    <outlinePr summaryBelow="1" summaryRight="1"/>
    <pageSetUpPr/>
  </sheetPr>
  <dimension ref="B2:C14"/>
  <sheetViews>
    <sheetView workbookViewId="0">
      <selection activeCell="A1" sqref="A1"/>
    </sheetView>
  </sheetViews>
  <sheetFormatPr baseColWidth="8" defaultRowHeight="15"/>
  <cols>
    <col width="5" customWidth="1" min="1" max="1"/>
    <col width="28" customWidth="1" min="2" max="2"/>
    <col width="22" customWidth="1" min="3" max="3"/>
  </cols>
  <sheetData>
    <row r="2">
      <c r="B2" s="1" t="inlineStr">
        <is>
          <t>Gold Forward Test Report</t>
        </is>
      </c>
    </row>
    <row r="3">
      <c r="B3" s="2" t="inlineStr">
        <is>
          <t>Period: 2026-04-18 → 2026-05-15</t>
        </is>
      </c>
    </row>
    <row r="5">
      <c r="B5" s="3" t="inlineStr">
        <is>
          <t>Initial Capital</t>
        </is>
      </c>
      <c r="C5" s="4" t="n">
        <v>500000</v>
      </c>
    </row>
    <row r="6">
      <c r="B6" s="3" t="inlineStr">
        <is>
          <t>Current Cash</t>
        </is>
      </c>
      <c r="C6" s="4" t="n">
        <v>0</v>
      </c>
    </row>
    <row r="7">
      <c r="B7" s="3" t="inlineStr">
        <is>
          <t>Gold Holdings (baht-weight)</t>
        </is>
      </c>
      <c r="C7" s="5" t="n">
        <v>6.85891643716372</v>
      </c>
    </row>
    <row r="8">
      <c r="B8" s="3" t="inlineStr">
        <is>
          <t>Last Price (THB/baht-wt)</t>
        </is>
      </c>
      <c r="C8" s="4" t="n">
        <v>71359.69969384704</v>
      </c>
    </row>
    <row r="10">
      <c r="B10" s="6" t="inlineStr">
        <is>
          <t>Portfolio Value</t>
        </is>
      </c>
      <c r="C10" s="7">
        <f>C6+C7*C8</f>
        <v/>
      </c>
    </row>
    <row r="11">
      <c r="B11" s="8" t="inlineStr">
        <is>
          <t>P&amp;L (THB)</t>
        </is>
      </c>
      <c r="C11" s="9">
        <f>C10-C5</f>
        <v/>
      </c>
    </row>
    <row r="12">
      <c r="B12" s="8" t="inlineStr">
        <is>
          <t>Return (%)</t>
        </is>
      </c>
      <c r="C12" s="10">
        <f>IF(C5=0,0,(C10-C5)/C5)</f>
        <v/>
      </c>
    </row>
    <row r="13">
      <c r="B13" s="3" t="inlineStr">
        <is>
          <t>Total Trades</t>
        </is>
      </c>
      <c r="C13" s="5" t="n">
        <v>15</v>
      </c>
    </row>
    <row r="14">
      <c r="B14" s="8" t="inlineStr">
        <is>
          <t>Current Position</t>
        </is>
      </c>
      <c r="C14" s="11" t="inlineStr">
        <is>
          <t>CASH</t>
        </is>
      </c>
    </row>
  </sheetData>
  <mergeCells count="2">
    <mergeCell ref="B3:C3"/>
    <mergeCell ref="B2:C2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002C3E50"/>
    <outlinePr summaryBelow="1" summaryRight="1"/>
    <pageSetUpPr/>
  </sheetPr>
  <dimension ref="A1:J16"/>
  <sheetViews>
    <sheetView workbookViewId="0">
      <selection activeCell="A1" sqref="A1"/>
    </sheetView>
  </sheetViews>
  <sheetFormatPr baseColWidth="8" defaultRowHeight="15"/>
  <cols>
    <col width="6" customWidth="1" min="1" max="1"/>
    <col width="20" customWidth="1" min="2" max="2"/>
    <col width="10" customWidth="1" min="3" max="3"/>
    <col width="18" customWidth="1" min="4" max="4"/>
    <col width="16" customWidth="1" min="5" max="5"/>
    <col width="18" customWidth="1" min="6" max="6"/>
    <col width="18" customWidth="1" min="7" max="7"/>
    <col width="18" customWidth="1" min="8" max="8"/>
    <col width="16" customWidth="1" min="9" max="9"/>
    <col width="16" customWidth="1" min="10" max="10"/>
  </cols>
  <sheetData>
    <row r="1">
      <c r="A1" s="12" t="inlineStr">
        <is>
          <t>No.</t>
        </is>
      </c>
      <c r="B1" s="12" t="inlineStr">
        <is>
          <t>Date/Time</t>
        </is>
      </c>
      <c r="C1" s="12" t="inlineStr">
        <is>
          <t>Action</t>
        </is>
      </c>
      <c r="D1" s="12" t="inlineStr">
        <is>
          <t>Price (THB)</t>
        </is>
      </c>
      <c r="E1" s="12" t="inlineStr">
        <is>
          <t>Units (baht-wt)</t>
        </is>
      </c>
      <c r="F1" s="12" t="inlineStr">
        <is>
          <t>Trade Value (THB)</t>
        </is>
      </c>
      <c r="G1" s="12" t="inlineStr">
        <is>
          <t>Cash Before</t>
        </is>
      </c>
      <c r="H1" s="12" t="inlineStr">
        <is>
          <t>Cash After</t>
        </is>
      </c>
      <c r="I1" s="12" t="inlineStr">
        <is>
          <t>Gold Before</t>
        </is>
      </c>
      <c r="J1" s="12" t="inlineStr">
        <is>
          <t>Gold After</t>
        </is>
      </c>
    </row>
    <row r="2">
      <c r="A2" s="13" t="n">
        <v>1</v>
      </c>
      <c r="B2" s="13" t="inlineStr">
        <is>
          <t>2026-04-18 21:40</t>
        </is>
      </c>
      <c r="C2" s="14" t="inlineStr">
        <is>
          <t>BUY</t>
        </is>
      </c>
      <c r="D2" s="15" t="n">
        <v>73596.25999999999</v>
      </c>
      <c r="E2" s="16" t="n">
        <v>1</v>
      </c>
      <c r="F2" s="15" t="n">
        <v>73596.25999999999</v>
      </c>
      <c r="G2" s="15" t="n">
        <v>500000</v>
      </c>
      <c r="H2" s="15" t="n">
        <v>426403.74</v>
      </c>
      <c r="I2" s="16" t="n">
        <v>0</v>
      </c>
      <c r="J2" s="16" t="n">
        <v>1</v>
      </c>
    </row>
    <row r="3">
      <c r="A3" s="13" t="n">
        <v>2</v>
      </c>
      <c r="B3" s="13" t="inlineStr">
        <is>
          <t>2026-04-19 23:58</t>
        </is>
      </c>
      <c r="C3" s="14" t="inlineStr">
        <is>
          <t>BUY</t>
        </is>
      </c>
      <c r="D3" s="15" t="n">
        <v>73596.25999999999</v>
      </c>
      <c r="E3" s="16" t="n">
        <v>1</v>
      </c>
      <c r="F3" s="15" t="n">
        <v>73596.25999999999</v>
      </c>
      <c r="G3" s="15" t="n">
        <v>426403.74</v>
      </c>
      <c r="H3" s="15" t="n">
        <v>352807.48</v>
      </c>
      <c r="I3" s="16" t="n">
        <v>1</v>
      </c>
      <c r="J3" s="16" t="n">
        <v>2</v>
      </c>
    </row>
    <row r="4">
      <c r="A4" s="13" t="n">
        <v>3</v>
      </c>
      <c r="B4" s="13" t="inlineStr">
        <is>
          <t>2026-04-20 00:55</t>
        </is>
      </c>
      <c r="C4" s="14" t="inlineStr">
        <is>
          <t>BUY</t>
        </is>
      </c>
      <c r="D4" s="15" t="n">
        <v>73596.25999999999</v>
      </c>
      <c r="E4" s="16" t="n">
        <v>1</v>
      </c>
      <c r="F4" s="15" t="n">
        <v>73596.25999999999</v>
      </c>
      <c r="G4" s="15" t="n">
        <v>352807.48</v>
      </c>
      <c r="H4" s="15" t="n">
        <v>279211.23</v>
      </c>
      <c r="I4" s="16" t="n">
        <v>2</v>
      </c>
      <c r="J4" s="16" t="n">
        <v>3</v>
      </c>
    </row>
    <row r="5">
      <c r="A5" s="13" t="n">
        <v>4</v>
      </c>
      <c r="B5" s="13" t="inlineStr">
        <is>
          <t>2026-04-20 04:52</t>
        </is>
      </c>
      <c r="C5" s="14" t="inlineStr">
        <is>
          <t>BUY</t>
        </is>
      </c>
      <c r="D5" s="15" t="n">
        <v>73596.25999999999</v>
      </c>
      <c r="E5" s="16" t="n">
        <v>1</v>
      </c>
      <c r="F5" s="15" t="n">
        <v>73596.25999999999</v>
      </c>
      <c r="G5" s="15" t="n">
        <v>279211.23</v>
      </c>
      <c r="H5" s="15" t="n">
        <v>205614.97</v>
      </c>
      <c r="I5" s="16" t="n">
        <v>3</v>
      </c>
      <c r="J5" s="16" t="n">
        <v>4</v>
      </c>
    </row>
    <row r="6">
      <c r="A6" s="17" t="n">
        <v>5</v>
      </c>
      <c r="B6" s="17" t="inlineStr">
        <is>
          <t>2026-04-20 18:58</t>
        </is>
      </c>
      <c r="C6" s="18" t="inlineStr">
        <is>
          <t>SELL</t>
        </is>
      </c>
      <c r="D6" s="19" t="n">
        <v>72930.21000000001</v>
      </c>
      <c r="E6" s="20" t="n">
        <v>1</v>
      </c>
      <c r="F6" s="19" t="n">
        <v>72930.21000000001</v>
      </c>
      <c r="G6" s="19" t="n">
        <v>205614.97</v>
      </c>
      <c r="H6" s="19" t="n">
        <v>278545.17</v>
      </c>
      <c r="I6" s="20" t="n">
        <v>4</v>
      </c>
      <c r="J6" s="20" t="n">
        <v>3</v>
      </c>
    </row>
    <row r="7">
      <c r="A7" s="17" t="n">
        <v>6</v>
      </c>
      <c r="B7" s="17" t="inlineStr">
        <is>
          <t>2026-04-20 22:59</t>
        </is>
      </c>
      <c r="C7" s="18" t="inlineStr">
        <is>
          <t>SELL</t>
        </is>
      </c>
      <c r="D7" s="19" t="n">
        <v>72949.62</v>
      </c>
      <c r="E7" s="20" t="n">
        <v>1</v>
      </c>
      <c r="F7" s="19" t="n">
        <v>72949.62</v>
      </c>
      <c r="G7" s="19" t="n">
        <v>278545.17</v>
      </c>
      <c r="H7" s="19" t="n">
        <v>351494.79</v>
      </c>
      <c r="I7" s="20" t="n">
        <v>3</v>
      </c>
      <c r="J7" s="20" t="n">
        <v>2</v>
      </c>
    </row>
    <row r="8">
      <c r="A8" s="17" t="n">
        <v>7</v>
      </c>
      <c r="B8" s="17" t="inlineStr">
        <is>
          <t>2026-04-21 18:44</t>
        </is>
      </c>
      <c r="C8" s="18" t="inlineStr">
        <is>
          <t>SELL</t>
        </is>
      </c>
      <c r="D8" s="19" t="n">
        <v>72793.78999999999</v>
      </c>
      <c r="E8" s="20" t="n">
        <v>1</v>
      </c>
      <c r="F8" s="19" t="n">
        <v>72793.78999999999</v>
      </c>
      <c r="G8" s="19" t="n">
        <v>351494.79</v>
      </c>
      <c r="H8" s="19" t="n">
        <v>424288.59</v>
      </c>
      <c r="I8" s="20" t="n">
        <v>2</v>
      </c>
      <c r="J8" s="20" t="n">
        <v>1</v>
      </c>
    </row>
    <row r="9">
      <c r="A9" s="17" t="n">
        <v>8</v>
      </c>
      <c r="B9" s="17" t="inlineStr">
        <is>
          <t>2026-04-21 23:00</t>
        </is>
      </c>
      <c r="C9" s="18" t="inlineStr">
        <is>
          <t>SELL</t>
        </is>
      </c>
      <c r="D9" s="19" t="n">
        <v>72432.17999999999</v>
      </c>
      <c r="E9" s="20" t="n">
        <v>1</v>
      </c>
      <c r="F9" s="19" t="n">
        <v>72432.17999999999</v>
      </c>
      <c r="G9" s="19" t="n">
        <v>424288.59</v>
      </c>
      <c r="H9" s="19" t="n">
        <v>496720.77</v>
      </c>
      <c r="I9" s="20" t="n">
        <v>1</v>
      </c>
      <c r="J9" s="20" t="n">
        <v>0</v>
      </c>
    </row>
    <row r="10">
      <c r="A10" s="13" t="n">
        <v>9</v>
      </c>
      <c r="B10" s="13" t="inlineStr">
        <is>
          <t>2026-04-22 18:42</t>
        </is>
      </c>
      <c r="C10" s="14" t="inlineStr">
        <is>
          <t>BUY</t>
        </is>
      </c>
      <c r="D10" s="15" t="n">
        <v>72743.33</v>
      </c>
      <c r="E10" s="16" t="n">
        <v>1</v>
      </c>
      <c r="F10" s="15" t="n">
        <v>72743.33</v>
      </c>
      <c r="G10" s="15" t="n">
        <v>496720.77</v>
      </c>
      <c r="H10" s="15" t="n">
        <v>423977.43</v>
      </c>
      <c r="I10" s="16" t="n">
        <v>0</v>
      </c>
      <c r="J10" s="16" t="n">
        <v>1</v>
      </c>
    </row>
    <row r="11">
      <c r="A11" s="13" t="n">
        <v>10</v>
      </c>
      <c r="B11" s="13" t="inlineStr">
        <is>
          <t>2026-04-22 22:58</t>
        </is>
      </c>
      <c r="C11" s="14" t="inlineStr">
        <is>
          <t>BUY</t>
        </is>
      </c>
      <c r="D11" s="15" t="n">
        <v>72379.47</v>
      </c>
      <c r="E11" s="16" t="n">
        <v>1</v>
      </c>
      <c r="F11" s="15" t="n">
        <v>72379.47</v>
      </c>
      <c r="G11" s="15" t="n">
        <v>423977.43</v>
      </c>
      <c r="H11" s="15" t="n">
        <v>351597.96</v>
      </c>
      <c r="I11" s="16" t="n">
        <v>1</v>
      </c>
      <c r="J11" s="16" t="n">
        <v>2</v>
      </c>
    </row>
    <row r="12">
      <c r="A12" s="13" t="n">
        <v>11</v>
      </c>
      <c r="B12" s="13" t="inlineStr">
        <is>
          <t>2026-04-23 02:56</t>
        </is>
      </c>
      <c r="C12" s="14" t="inlineStr">
        <is>
          <t>BUY</t>
        </is>
      </c>
      <c r="D12" s="15" t="n">
        <v>72545.27</v>
      </c>
      <c r="E12" s="16" t="n">
        <v>1</v>
      </c>
      <c r="F12" s="15" t="n">
        <v>72545.27</v>
      </c>
      <c r="G12" s="15" t="n">
        <v>351597.96</v>
      </c>
      <c r="H12" s="15" t="n">
        <v>279052.69</v>
      </c>
      <c r="I12" s="16" t="n">
        <v>2</v>
      </c>
      <c r="J12" s="16" t="n">
        <v>3</v>
      </c>
    </row>
    <row r="13">
      <c r="A13" s="13" t="n">
        <v>12</v>
      </c>
      <c r="B13" s="13" t="inlineStr">
        <is>
          <t>2026-04-24 00:03</t>
        </is>
      </c>
      <c r="C13" s="14" t="inlineStr">
        <is>
          <t>BUY</t>
        </is>
      </c>
      <c r="D13" s="15" t="n">
        <v>72612.62</v>
      </c>
      <c r="E13" s="16" t="n">
        <v>1</v>
      </c>
      <c r="F13" s="15" t="n">
        <v>72612.62</v>
      </c>
      <c r="G13" s="15" t="n">
        <v>279052.69</v>
      </c>
      <c r="H13" s="15" t="n">
        <v>206440.07</v>
      </c>
      <c r="I13" s="16" t="n">
        <v>3</v>
      </c>
      <c r="J13" s="16" t="n">
        <v>4</v>
      </c>
    </row>
    <row r="14">
      <c r="A14" s="13" t="n">
        <v>13</v>
      </c>
      <c r="B14" s="13" t="inlineStr">
        <is>
          <t>2026-04-25 04:35</t>
        </is>
      </c>
      <c r="C14" s="14" t="inlineStr">
        <is>
          <t>BUY</t>
        </is>
      </c>
      <c r="D14" s="15" t="n">
        <v>72209.2</v>
      </c>
      <c r="E14" s="16" t="n">
        <v>1</v>
      </c>
      <c r="F14" s="15" t="n">
        <v>72209.2</v>
      </c>
      <c r="G14" s="15" t="n">
        <v>206440.07</v>
      </c>
      <c r="H14" s="15" t="n">
        <v>134230.87</v>
      </c>
      <c r="I14" s="16" t="n">
        <v>4</v>
      </c>
      <c r="J14" s="16" t="n">
        <v>5</v>
      </c>
    </row>
    <row r="15">
      <c r="A15" s="13" t="n">
        <v>14</v>
      </c>
      <c r="B15" s="13" t="inlineStr">
        <is>
          <t>2026-04-25 06:58</t>
        </is>
      </c>
      <c r="C15" s="14" t="inlineStr">
        <is>
          <t>BUY</t>
        </is>
      </c>
      <c r="D15" s="15" t="n">
        <v>72209.2</v>
      </c>
      <c r="E15" s="16" t="n">
        <v>1</v>
      </c>
      <c r="F15" s="15" t="n">
        <v>72209.2</v>
      </c>
      <c r="G15" s="15" t="n">
        <v>134230.87</v>
      </c>
      <c r="H15" s="15" t="n">
        <v>62021.67</v>
      </c>
      <c r="I15" s="16" t="n">
        <v>5</v>
      </c>
      <c r="J15" s="16" t="n">
        <v>6</v>
      </c>
    </row>
    <row r="16">
      <c r="A16" s="13" t="n">
        <v>15</v>
      </c>
      <c r="B16" s="13" t="inlineStr">
        <is>
          <t>2026-04-25 13:08</t>
        </is>
      </c>
      <c r="C16" s="14" t="inlineStr">
        <is>
          <t>BUY</t>
        </is>
      </c>
      <c r="D16" s="15" t="n">
        <v>72209.2</v>
      </c>
      <c r="E16" s="16" t="n">
        <v>0.858916</v>
      </c>
      <c r="F16" s="15" t="n">
        <v>62021.67</v>
      </c>
      <c r="G16" s="15" t="n">
        <v>62021.67</v>
      </c>
      <c r="H16" s="15" t="n">
        <v>0</v>
      </c>
      <c r="I16" s="16" t="n">
        <v>6</v>
      </c>
      <c r="J16" s="16" t="n">
        <v>6.858916</v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0027AE60"/>
    <outlinePr summaryBelow="1" summaryRight="1"/>
    <pageSetUpPr/>
  </sheetPr>
  <dimension ref="A1:D17"/>
  <sheetViews>
    <sheetView workbookViewId="0">
      <selection activeCell="A1" sqref="A1"/>
    </sheetView>
  </sheetViews>
  <sheetFormatPr baseColWidth="8" defaultRowHeight="15"/>
  <cols>
    <col width="12" customWidth="1" min="1" max="1"/>
    <col width="20" customWidth="1" min="2" max="2"/>
    <col width="10" customWidth="1" min="3" max="3"/>
    <col width="22" customWidth="1" min="4" max="4"/>
  </cols>
  <sheetData>
    <row r="1">
      <c r="A1" s="21" t="inlineStr">
        <is>
          <t>Trade No.</t>
        </is>
      </c>
      <c r="B1" s="21" t="inlineStr">
        <is>
          <t>Date</t>
        </is>
      </c>
      <c r="C1" s="21" t="inlineStr">
        <is>
          <t>Action</t>
        </is>
      </c>
      <c r="D1" s="21" t="inlineStr">
        <is>
          <t>Portfolio Value (THB)</t>
        </is>
      </c>
    </row>
    <row r="2">
      <c r="A2" s="22" t="n">
        <v>0</v>
      </c>
      <c r="B2" s="22" t="inlineStr">
        <is>
          <t>2026-04-18</t>
        </is>
      </c>
      <c r="C2" s="23" t="inlineStr">
        <is>
          <t>START</t>
        </is>
      </c>
      <c r="D2" s="24" t="n">
        <v>500000</v>
      </c>
    </row>
    <row r="3">
      <c r="A3" s="22" t="n">
        <v>1</v>
      </c>
      <c r="B3" s="22" t="inlineStr">
        <is>
          <t>2026-04-18</t>
        </is>
      </c>
      <c r="C3" s="25" t="inlineStr">
        <is>
          <t>BUY</t>
        </is>
      </c>
      <c r="D3" s="24" t="n">
        <v>73596.25999999999</v>
      </c>
    </row>
    <row r="4">
      <c r="A4" s="22" t="n">
        <v>2</v>
      </c>
      <c r="B4" s="22" t="inlineStr">
        <is>
          <t>2026-04-19</t>
        </is>
      </c>
      <c r="C4" s="25" t="inlineStr">
        <is>
          <t>BUY</t>
        </is>
      </c>
      <c r="D4" s="24" t="n">
        <v>147192.52</v>
      </c>
    </row>
    <row r="5">
      <c r="A5" s="22" t="n">
        <v>3</v>
      </c>
      <c r="B5" s="22" t="inlineStr">
        <is>
          <t>2026-04-20</t>
        </is>
      </c>
      <c r="C5" s="25" t="inlineStr">
        <is>
          <t>BUY</t>
        </is>
      </c>
      <c r="D5" s="24" t="n">
        <v>220788.78</v>
      </c>
    </row>
    <row r="6">
      <c r="A6" s="22" t="n">
        <v>4</v>
      </c>
      <c r="B6" s="22" t="inlineStr">
        <is>
          <t>2026-04-20</t>
        </is>
      </c>
      <c r="C6" s="25" t="inlineStr">
        <is>
          <t>BUY</t>
        </is>
      </c>
      <c r="D6" s="24" t="n">
        <v>294385.04</v>
      </c>
    </row>
    <row r="7">
      <c r="A7" s="22" t="n">
        <v>5</v>
      </c>
      <c r="B7" s="22" t="inlineStr">
        <is>
          <t>2026-04-20</t>
        </is>
      </c>
      <c r="C7" s="26" t="inlineStr">
        <is>
          <t>SELL</t>
        </is>
      </c>
      <c r="D7" s="24" t="n">
        <v>278545.17</v>
      </c>
    </row>
    <row r="8">
      <c r="A8" s="22" t="n">
        <v>6</v>
      </c>
      <c r="B8" s="22" t="inlineStr">
        <is>
          <t>2026-04-20</t>
        </is>
      </c>
      <c r="C8" s="26" t="inlineStr">
        <is>
          <t>SELL</t>
        </is>
      </c>
      <c r="D8" s="24" t="n">
        <v>351494.79</v>
      </c>
    </row>
    <row r="9">
      <c r="A9" s="22" t="n">
        <v>7</v>
      </c>
      <c r="B9" s="22" t="inlineStr">
        <is>
          <t>2026-04-21</t>
        </is>
      </c>
      <c r="C9" s="26" t="inlineStr">
        <is>
          <t>SELL</t>
        </is>
      </c>
      <c r="D9" s="24" t="n">
        <v>424288.59</v>
      </c>
    </row>
    <row r="10">
      <c r="A10" s="22" t="n">
        <v>8</v>
      </c>
      <c r="B10" s="22" t="inlineStr">
        <is>
          <t>2026-04-21</t>
        </is>
      </c>
      <c r="C10" s="26" t="inlineStr">
        <is>
          <t>SELL</t>
        </is>
      </c>
      <c r="D10" s="24" t="n">
        <v>496720.77</v>
      </c>
    </row>
    <row r="11">
      <c r="A11" s="22" t="n">
        <v>9</v>
      </c>
      <c r="B11" s="22" t="inlineStr">
        <is>
          <t>2026-04-22</t>
        </is>
      </c>
      <c r="C11" s="25" t="inlineStr">
        <is>
          <t>BUY</t>
        </is>
      </c>
      <c r="D11" s="24" t="n">
        <v>72743.33</v>
      </c>
    </row>
    <row r="12">
      <c r="A12" s="22" t="n">
        <v>10</v>
      </c>
      <c r="B12" s="22" t="inlineStr">
        <is>
          <t>2026-04-22</t>
        </is>
      </c>
      <c r="C12" s="25" t="inlineStr">
        <is>
          <t>BUY</t>
        </is>
      </c>
      <c r="D12" s="24" t="n">
        <v>144758.94</v>
      </c>
    </row>
    <row r="13">
      <c r="A13" s="22" t="n">
        <v>11</v>
      </c>
      <c r="B13" s="22" t="inlineStr">
        <is>
          <t>2026-04-23</t>
        </is>
      </c>
      <c r="C13" s="25" t="inlineStr">
        <is>
          <t>BUY</t>
        </is>
      </c>
      <c r="D13" s="24" t="n">
        <v>217635.81</v>
      </c>
    </row>
    <row r="14">
      <c r="A14" s="22" t="n">
        <v>12</v>
      </c>
      <c r="B14" s="22" t="inlineStr">
        <is>
          <t>2026-04-24</t>
        </is>
      </c>
      <c r="C14" s="25" t="inlineStr">
        <is>
          <t>BUY</t>
        </is>
      </c>
      <c r="D14" s="24" t="n">
        <v>290450.48</v>
      </c>
    </row>
    <row r="15">
      <c r="A15" s="22" t="n">
        <v>13</v>
      </c>
      <c r="B15" s="22" t="inlineStr">
        <is>
          <t>2026-04-25</t>
        </is>
      </c>
      <c r="C15" s="25" t="inlineStr">
        <is>
          <t>BUY</t>
        </is>
      </c>
      <c r="D15" s="24" t="n">
        <v>361046</v>
      </c>
    </row>
    <row r="16">
      <c r="A16" s="22" t="n">
        <v>14</v>
      </c>
      <c r="B16" s="22" t="inlineStr">
        <is>
          <t>2026-04-25</t>
        </is>
      </c>
      <c r="C16" s="25" t="inlineStr">
        <is>
          <t>BUY</t>
        </is>
      </c>
      <c r="D16" s="24" t="n">
        <v>433255.2</v>
      </c>
    </row>
    <row r="17">
      <c r="A17" s="22" t="n">
        <v>15</v>
      </c>
      <c r="B17" s="22" t="inlineStr">
        <is>
          <t>2026-04-25</t>
        </is>
      </c>
      <c r="C17" s="25" t="inlineStr">
        <is>
          <t>BUY</t>
        </is>
      </c>
      <c r="D17" s="24" t="n">
        <v>495276.84</v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4.xml><?xml version="1.0" encoding="utf-8"?>
<worksheet xmlns="http://schemas.openxmlformats.org/spreadsheetml/2006/main">
  <sheetPr>
    <tabColor rgb="003498DB"/>
    <outlinePr summaryBelow="1" summaryRight="1"/>
    <pageSetUpPr/>
  </sheetPr>
  <dimension ref="A1:M59"/>
  <sheetViews>
    <sheetView workbookViewId="0">
      <selection activeCell="A1" sqref="A1"/>
    </sheetView>
  </sheetViews>
  <sheetFormatPr baseColWidth="8" defaultRowHeight="15"/>
  <cols>
    <col width="6" customWidth="1" min="1" max="1"/>
    <col width="14" customWidth="1" min="2" max="2"/>
    <col width="16" customWidth="1" min="3" max="3"/>
    <col width="18" customWidth="1" min="4" max="4"/>
    <col width="14" customWidth="1" min="5" max="5"/>
    <col width="18" customWidth="1" min="6" max="6"/>
    <col width="20" customWidth="1" min="7" max="7"/>
    <col width="18" customWidth="1" min="8" max="8"/>
    <col width="10" customWidth="1" min="9" max="9"/>
    <col width="10" customWidth="1" min="10" max="10"/>
    <col width="8" customWidth="1" min="11" max="11"/>
    <col width="8" customWidth="1" min="12" max="12"/>
    <col width="12" customWidth="1" min="13" max="13"/>
  </cols>
  <sheetData>
    <row r="1">
      <c r="A1" s="12" t="inlineStr">
        <is>
          <t>Day</t>
        </is>
      </c>
      <c r="B1" s="12" t="inlineStr">
        <is>
          <t>Date</t>
        </is>
      </c>
      <c r="C1" s="12" t="inlineStr">
        <is>
          <t>Gold Price</t>
        </is>
      </c>
      <c r="D1" s="12" t="inlineStr">
        <is>
          <t>Cash (THB)</t>
        </is>
      </c>
      <c r="E1" s="12" t="inlineStr">
        <is>
          <t>Gold (baht-wt)</t>
        </is>
      </c>
      <c r="F1" s="12" t="inlineStr">
        <is>
          <t>Gold Value (THB)</t>
        </is>
      </c>
      <c r="G1" s="12" t="inlineStr">
        <is>
          <t>Portfolio Value (THB)</t>
        </is>
      </c>
      <c r="H1" s="12" t="inlineStr">
        <is>
          <t>P&amp;L (THB)</t>
        </is>
      </c>
      <c r="I1" s="12" t="inlineStr">
        <is>
          <t>P&amp;L (%)</t>
        </is>
      </c>
      <c r="J1" s="12" t="inlineStr">
        <is>
          <t>Signal</t>
        </is>
      </c>
      <c r="K1" s="12" t="inlineStr">
        <is>
          <t>Buys</t>
        </is>
      </c>
      <c r="L1" s="12" t="inlineStr">
        <is>
          <t>Sells</t>
        </is>
      </c>
      <c r="M1" s="12" t="inlineStr">
        <is>
          <t>Total Trades</t>
        </is>
      </c>
    </row>
    <row r="2">
      <c r="A2" s="27" t="n">
        <v>1</v>
      </c>
      <c r="B2" s="27" t="inlineStr">
        <is>
          <t>2026-04-18</t>
        </is>
      </c>
      <c r="C2" s="28" t="n">
        <v>73596.25999999999</v>
      </c>
      <c r="D2" s="28" t="n">
        <v>426403.74</v>
      </c>
      <c r="E2" s="29" t="n">
        <v>1</v>
      </c>
      <c r="F2" s="28" t="n">
        <v>73596.25999999999</v>
      </c>
      <c r="G2" s="28" t="n">
        <v>500000</v>
      </c>
      <c r="H2" s="30" t="n">
        <v>0</v>
      </c>
      <c r="I2" s="31" t="n">
        <v>0</v>
      </c>
      <c r="J2" s="27" t="inlineStr">
        <is>
          <t>-</t>
        </is>
      </c>
      <c r="K2" s="27" t="n">
        <v>1</v>
      </c>
      <c r="L2" s="27" t="n">
        <v>0</v>
      </c>
      <c r="M2" s="27" t="n">
        <v>1</v>
      </c>
    </row>
    <row r="3">
      <c r="A3" s="32" t="n">
        <v>2</v>
      </c>
      <c r="B3" s="32" t="inlineStr">
        <is>
          <t>2026-04-19</t>
        </is>
      </c>
      <c r="C3" s="33" t="n">
        <v>73596.25999999999</v>
      </c>
      <c r="D3" s="33" t="n">
        <v>352807.48</v>
      </c>
      <c r="E3" s="34" t="n">
        <v>2</v>
      </c>
      <c r="F3" s="33" t="n">
        <v>147192.52</v>
      </c>
      <c r="G3" s="33" t="n">
        <v>500000</v>
      </c>
      <c r="H3" s="35" t="n">
        <v>0</v>
      </c>
      <c r="I3" s="36" t="n">
        <v>0</v>
      </c>
      <c r="J3" s="32" t="inlineStr">
        <is>
          <t>-</t>
        </is>
      </c>
      <c r="K3" s="32" t="n">
        <v>1</v>
      </c>
      <c r="L3" s="32" t="n">
        <v>0</v>
      </c>
      <c r="M3" s="32" t="n">
        <v>2</v>
      </c>
    </row>
    <row r="4">
      <c r="A4" s="27" t="n">
        <v>3</v>
      </c>
      <c r="B4" s="27" t="inlineStr">
        <is>
          <t>2026-04-20</t>
        </is>
      </c>
      <c r="C4" s="28" t="n">
        <v>72949.62</v>
      </c>
      <c r="D4" s="28" t="n">
        <v>351494.79</v>
      </c>
      <c r="E4" s="29" t="n">
        <v>2</v>
      </c>
      <c r="F4" s="28" t="n">
        <v>145899.24</v>
      </c>
      <c r="G4" s="28" t="n">
        <v>497394.03</v>
      </c>
      <c r="H4" s="37" t="n">
        <v>-2605.97</v>
      </c>
      <c r="I4" s="38" t="n">
        <v>-0.0052</v>
      </c>
      <c r="J4" s="27" t="inlineStr">
        <is>
          <t>-</t>
        </is>
      </c>
      <c r="K4" s="27" t="n">
        <v>2</v>
      </c>
      <c r="L4" s="27" t="n">
        <v>2</v>
      </c>
      <c r="M4" s="27" t="n">
        <v>6</v>
      </c>
    </row>
    <row r="5">
      <c r="A5" s="32" t="n">
        <v>4</v>
      </c>
      <c r="B5" s="32" t="inlineStr">
        <is>
          <t>2026-04-21</t>
        </is>
      </c>
      <c r="C5" s="33" t="n">
        <v>72432.17999999999</v>
      </c>
      <c r="D5" s="33" t="n">
        <v>496720.76</v>
      </c>
      <c r="E5" s="34" t="n">
        <v>0</v>
      </c>
      <c r="F5" s="33" t="n">
        <v>0</v>
      </c>
      <c r="G5" s="33" t="n">
        <v>496720.76</v>
      </c>
      <c r="H5" s="39" t="n">
        <v>-3279.24</v>
      </c>
      <c r="I5" s="40" t="n">
        <v>-0.0066</v>
      </c>
      <c r="J5" s="32" t="inlineStr">
        <is>
          <t>-</t>
        </is>
      </c>
      <c r="K5" s="32" t="n">
        <v>0</v>
      </c>
      <c r="L5" s="32" t="n">
        <v>2</v>
      </c>
      <c r="M5" s="32" t="n">
        <v>8</v>
      </c>
    </row>
    <row r="6">
      <c r="A6" s="27" t="n">
        <v>5</v>
      </c>
      <c r="B6" s="27" t="inlineStr">
        <is>
          <t>2026-04-22</t>
        </is>
      </c>
      <c r="C6" s="28" t="n">
        <v>72379.47</v>
      </c>
      <c r="D6" s="28" t="n">
        <v>351597.96</v>
      </c>
      <c r="E6" s="29" t="n">
        <v>2</v>
      </c>
      <c r="F6" s="28" t="n">
        <v>144758.94</v>
      </c>
      <c r="G6" s="28" t="n">
        <v>496356.9</v>
      </c>
      <c r="H6" s="37" t="n">
        <v>-3643.1</v>
      </c>
      <c r="I6" s="38" t="n">
        <v>-0.0073</v>
      </c>
      <c r="J6" s="27" t="inlineStr">
        <is>
          <t>-</t>
        </is>
      </c>
      <c r="K6" s="27" t="n">
        <v>2</v>
      </c>
      <c r="L6" s="27" t="n">
        <v>0</v>
      </c>
      <c r="M6" s="27" t="n">
        <v>10</v>
      </c>
    </row>
    <row r="7">
      <c r="A7" s="32" t="n">
        <v>6</v>
      </c>
      <c r="B7" s="32" t="inlineStr">
        <is>
          <t>2026-04-23</t>
        </is>
      </c>
      <c r="C7" s="33" t="n">
        <v>72545.27</v>
      </c>
      <c r="D7" s="33" t="n">
        <v>279052.69</v>
      </c>
      <c r="E7" s="34" t="n">
        <v>3</v>
      </c>
      <c r="F7" s="33" t="n">
        <v>217635.81</v>
      </c>
      <c r="G7" s="33" t="n">
        <v>496688.5</v>
      </c>
      <c r="H7" s="39" t="n">
        <v>-3311.5</v>
      </c>
      <c r="I7" s="40" t="n">
        <v>-0.0066</v>
      </c>
      <c r="J7" s="32" t="inlineStr">
        <is>
          <t>-</t>
        </is>
      </c>
      <c r="K7" s="32" t="n">
        <v>1</v>
      </c>
      <c r="L7" s="32" t="n">
        <v>0</v>
      </c>
      <c r="M7" s="32" t="n">
        <v>11</v>
      </c>
    </row>
    <row r="8">
      <c r="A8" s="27" t="n">
        <v>7</v>
      </c>
      <c r="B8" s="27" t="inlineStr">
        <is>
          <t>2026-04-24</t>
        </is>
      </c>
      <c r="C8" s="28" t="n">
        <v>72612.62</v>
      </c>
      <c r="D8" s="28" t="n">
        <v>206440.07</v>
      </c>
      <c r="E8" s="29" t="n">
        <v>4</v>
      </c>
      <c r="F8" s="28" t="n">
        <v>290450.48</v>
      </c>
      <c r="G8" s="28" t="n">
        <v>496890.55</v>
      </c>
      <c r="H8" s="37" t="n">
        <v>-3109.45</v>
      </c>
      <c r="I8" s="38" t="n">
        <v>-0.0062</v>
      </c>
      <c r="J8" s="27" t="inlineStr">
        <is>
          <t>-</t>
        </is>
      </c>
      <c r="K8" s="27" t="n">
        <v>1</v>
      </c>
      <c r="L8" s="27" t="n">
        <v>0</v>
      </c>
      <c r="M8" s="27" t="n">
        <v>12</v>
      </c>
    </row>
    <row r="9">
      <c r="A9" s="32" t="n">
        <v>8</v>
      </c>
      <c r="B9" s="32" t="inlineStr">
        <is>
          <t>2026-04-25</t>
        </is>
      </c>
      <c r="C9" s="33" t="n">
        <v>72209.2</v>
      </c>
      <c r="D9" s="33" t="n">
        <v>0</v>
      </c>
      <c r="E9" s="34" t="n">
        <v>6.858916</v>
      </c>
      <c r="F9" s="33" t="n">
        <v>495276.87</v>
      </c>
      <c r="G9" s="33" t="n">
        <v>495276.87</v>
      </c>
      <c r="H9" s="39" t="n">
        <v>-4723.13</v>
      </c>
      <c r="I9" s="40" t="n">
        <v>-0.009399999999999999</v>
      </c>
      <c r="J9" s="32" t="inlineStr">
        <is>
          <t>ซื้อ</t>
        </is>
      </c>
      <c r="K9" s="32" t="n">
        <v>3</v>
      </c>
      <c r="L9" s="32" t="n">
        <v>0</v>
      </c>
      <c r="M9" s="32" t="n">
        <v>15</v>
      </c>
    </row>
    <row r="10">
      <c r="A10" s="27" t="n">
        <v>9</v>
      </c>
      <c r="B10" s="27" t="inlineStr">
        <is>
          <t>2026-04-26</t>
        </is>
      </c>
      <c r="C10" s="28" t="n">
        <v>72446.06</v>
      </c>
      <c r="D10" s="28" t="n">
        <v>0</v>
      </c>
      <c r="E10" s="29" t="n">
        <v>6.858916</v>
      </c>
      <c r="F10" s="28" t="n">
        <v>496901.45</v>
      </c>
      <c r="G10" s="28" t="n">
        <v>496901.45</v>
      </c>
      <c r="H10" s="37" t="n">
        <v>-3098.55</v>
      </c>
      <c r="I10" s="38" t="n">
        <v>-0.0062</v>
      </c>
      <c r="J10" s="27" t="inlineStr">
        <is>
          <t>ซื้อ</t>
        </is>
      </c>
      <c r="K10" s="27" t="n">
        <v>0</v>
      </c>
      <c r="L10" s="27" t="n">
        <v>0</v>
      </c>
      <c r="M10" s="27" t="n">
        <v>15</v>
      </c>
    </row>
    <row r="11">
      <c r="A11" s="32" t="n">
        <v>10</v>
      </c>
      <c r="B11" s="32" t="inlineStr">
        <is>
          <t>2026-04-27</t>
        </is>
      </c>
      <c r="C11" s="33" t="n">
        <v>72044.78</v>
      </c>
      <c r="D11" s="33" t="n">
        <v>0</v>
      </c>
      <c r="E11" s="34" t="n">
        <v>6.858916</v>
      </c>
      <c r="F11" s="33" t="n">
        <v>494149.12</v>
      </c>
      <c r="G11" s="33" t="n">
        <v>494149.12</v>
      </c>
      <c r="H11" s="39" t="n">
        <v>-5850.88</v>
      </c>
      <c r="I11" s="40" t="n">
        <v>-0.0117</v>
      </c>
      <c r="J11" s="32" t="inlineStr">
        <is>
          <t>ถือ</t>
        </is>
      </c>
      <c r="K11" s="32" t="n">
        <v>0</v>
      </c>
      <c r="L11" s="32" t="n">
        <v>0</v>
      </c>
      <c r="M11" s="32" t="n">
        <v>15</v>
      </c>
    </row>
    <row r="12">
      <c r="A12" s="27" t="n">
        <v>11</v>
      </c>
      <c r="B12" s="27" t="inlineStr">
        <is>
          <t>2026-04-28</t>
        </is>
      </c>
      <c r="C12" s="28" t="n">
        <v>71099.81</v>
      </c>
      <c r="D12" s="28" t="n">
        <v>0</v>
      </c>
      <c r="E12" s="29" t="n">
        <v>6.858916</v>
      </c>
      <c r="F12" s="28" t="n">
        <v>487667.65</v>
      </c>
      <c r="G12" s="28" t="n">
        <v>487667.65</v>
      </c>
      <c r="H12" s="37" t="n">
        <v>-12332.35</v>
      </c>
      <c r="I12" s="38" t="n">
        <v>-0.0247</v>
      </c>
      <c r="J12" s="27" t="inlineStr">
        <is>
          <t>ขาย</t>
        </is>
      </c>
      <c r="K12" s="27" t="n">
        <v>0</v>
      </c>
      <c r="L12" s="27" t="n">
        <v>0</v>
      </c>
      <c r="M12" s="27" t="n">
        <v>15</v>
      </c>
    </row>
    <row r="13">
      <c r="A13" s="32" t="n">
        <v>12</v>
      </c>
      <c r="B13" s="32" t="inlineStr">
        <is>
          <t>2026-04-29</t>
        </is>
      </c>
      <c r="C13" s="33" t="n">
        <v>70776.37</v>
      </c>
      <c r="D13" s="33" t="n">
        <v>0</v>
      </c>
      <c r="E13" s="34" t="n">
        <v>6.858916</v>
      </c>
      <c r="F13" s="33" t="n">
        <v>485449.17</v>
      </c>
      <c r="G13" s="33" t="n">
        <v>485449.17</v>
      </c>
      <c r="H13" s="39" t="n">
        <v>-14550.83</v>
      </c>
      <c r="I13" s="40" t="n">
        <v>-0.0291</v>
      </c>
      <c r="J13" s="32" t="inlineStr">
        <is>
          <t>ถือ</t>
        </is>
      </c>
      <c r="K13" s="32" t="n">
        <v>0</v>
      </c>
      <c r="L13" s="32" t="n">
        <v>0</v>
      </c>
      <c r="M13" s="32" t="n">
        <v>15</v>
      </c>
    </row>
    <row r="14">
      <c r="A14" s="27" t="n">
        <v>13</v>
      </c>
      <c r="B14" s="27" t="inlineStr">
        <is>
          <t>2026-04-30</t>
        </is>
      </c>
      <c r="C14" s="28" t="n">
        <v>71365.74000000001</v>
      </c>
      <c r="D14" s="28" t="n">
        <v>0</v>
      </c>
      <c r="E14" s="29" t="n">
        <v>6.858916</v>
      </c>
      <c r="F14" s="28" t="n">
        <v>489491.64</v>
      </c>
      <c r="G14" s="28" t="n">
        <v>489491.64</v>
      </c>
      <c r="H14" s="37" t="n">
        <v>-10508.36</v>
      </c>
      <c r="I14" s="38" t="n">
        <v>-0.021</v>
      </c>
      <c r="J14" s="27" t="inlineStr">
        <is>
          <t>ซื้อ</t>
        </is>
      </c>
      <c r="K14" s="27" t="n">
        <v>0</v>
      </c>
      <c r="L14" s="27" t="n">
        <v>0</v>
      </c>
      <c r="M14" s="27" t="n">
        <v>15</v>
      </c>
    </row>
    <row r="15">
      <c r="A15" s="32" t="n">
        <v>14</v>
      </c>
      <c r="B15" s="32" t="inlineStr">
        <is>
          <t>2026-05-01</t>
        </is>
      </c>
      <c r="C15" s="33" t="n">
        <v>70443.88</v>
      </c>
      <c r="D15" s="33" t="n">
        <v>0</v>
      </c>
      <c r="E15" s="34" t="n">
        <v>6.858916</v>
      </c>
      <c r="F15" s="33" t="n">
        <v>483168.66</v>
      </c>
      <c r="G15" s="33" t="n">
        <v>483168.66</v>
      </c>
      <c r="H15" s="39" t="n">
        <v>-16831.34</v>
      </c>
      <c r="I15" s="40" t="n">
        <v>-0.0337</v>
      </c>
      <c r="J15" s="32" t="inlineStr">
        <is>
          <t>ขาย</t>
        </is>
      </c>
      <c r="K15" s="32" t="n">
        <v>0</v>
      </c>
      <c r="L15" s="32" t="n">
        <v>0</v>
      </c>
      <c r="M15" s="32" t="n">
        <v>15</v>
      </c>
    </row>
    <row r="16">
      <c r="A16" s="27" t="n">
        <v>15</v>
      </c>
      <c r="B16" s="27" t="inlineStr">
        <is>
          <t>2026-05-02</t>
        </is>
      </c>
      <c r="C16" s="28" t="n">
        <v>70727.91</v>
      </c>
      <c r="D16" s="28" t="n">
        <v>0</v>
      </c>
      <c r="E16" s="29" t="n">
        <v>6.858916</v>
      </c>
      <c r="F16" s="28" t="n">
        <v>485116.8</v>
      </c>
      <c r="G16" s="28" t="n">
        <v>485116.8</v>
      </c>
      <c r="H16" s="37" t="n">
        <v>-14883.2</v>
      </c>
      <c r="I16" s="38" t="n">
        <v>-0.0298</v>
      </c>
      <c r="J16" s="27" t="inlineStr">
        <is>
          <t>ซื้อ</t>
        </is>
      </c>
      <c r="K16" s="27" t="n">
        <v>0</v>
      </c>
      <c r="L16" s="27" t="n">
        <v>0</v>
      </c>
      <c r="M16" s="27" t="n">
        <v>15</v>
      </c>
    </row>
    <row r="17">
      <c r="A17" s="32" t="n">
        <v>16</v>
      </c>
      <c r="B17" s="32" t="inlineStr">
        <is>
          <t>2026-05-03</t>
        </is>
      </c>
      <c r="C17" s="33" t="n">
        <v>71016.89999999999</v>
      </c>
      <c r="D17" s="33" t="n">
        <v>0</v>
      </c>
      <c r="E17" s="34" t="n">
        <v>6.858916</v>
      </c>
      <c r="F17" s="33" t="n">
        <v>487098.96</v>
      </c>
      <c r="G17" s="33" t="n">
        <v>487098.96</v>
      </c>
      <c r="H17" s="39" t="n">
        <v>-12901.04</v>
      </c>
      <c r="I17" s="40" t="n">
        <v>-0.0258</v>
      </c>
      <c r="J17" s="32" t="inlineStr">
        <is>
          <t>ซื้อ</t>
        </is>
      </c>
      <c r="K17" s="32" t="n">
        <v>0</v>
      </c>
      <c r="L17" s="32" t="n">
        <v>0</v>
      </c>
      <c r="M17" s="32" t="n">
        <v>15</v>
      </c>
    </row>
    <row r="18">
      <c r="A18" s="27" t="n">
        <v>17</v>
      </c>
      <c r="B18" s="27" t="inlineStr">
        <is>
          <t>2026-05-04</t>
        </is>
      </c>
      <c r="C18" s="28" t="n">
        <v>70326.53</v>
      </c>
      <c r="D18" s="28" t="n">
        <v>0</v>
      </c>
      <c r="E18" s="29" t="n">
        <v>6.858916</v>
      </c>
      <c r="F18" s="28" t="n">
        <v>482363.81</v>
      </c>
      <c r="G18" s="28" t="n">
        <v>482363.81</v>
      </c>
      <c r="H18" s="37" t="n">
        <v>-17636.19</v>
      </c>
      <c r="I18" s="38" t="n">
        <v>-0.0353</v>
      </c>
      <c r="J18" s="27" t="inlineStr">
        <is>
          <t>ขาย</t>
        </is>
      </c>
      <c r="K18" s="27" t="n">
        <v>0</v>
      </c>
      <c r="L18" s="27" t="n">
        <v>0</v>
      </c>
      <c r="M18" s="27" t="n">
        <v>15</v>
      </c>
    </row>
    <row r="19">
      <c r="A19" s="32" t="n">
        <v>18</v>
      </c>
      <c r="B19" s="32" t="inlineStr">
        <is>
          <t>2026-05-05</t>
        </is>
      </c>
      <c r="C19" s="33" t="n">
        <v>70632.55</v>
      </c>
      <c r="D19" s="33" t="n">
        <v>0</v>
      </c>
      <c r="E19" s="34" t="n">
        <v>6.858916</v>
      </c>
      <c r="F19" s="33" t="n">
        <v>484462.79</v>
      </c>
      <c r="G19" s="33" t="n">
        <v>484462.79</v>
      </c>
      <c r="H19" s="39" t="n">
        <v>-15537.21</v>
      </c>
      <c r="I19" s="40" t="n">
        <v>-0.0311</v>
      </c>
      <c r="J19" s="32" t="inlineStr">
        <is>
          <t>ซื้อ</t>
        </is>
      </c>
      <c r="K19" s="32" t="n">
        <v>0</v>
      </c>
      <c r="L19" s="32" t="n">
        <v>0</v>
      </c>
      <c r="M19" s="32" t="n">
        <v>15</v>
      </c>
    </row>
    <row r="20">
      <c r="A20" s="27" t="n">
        <v>19</v>
      </c>
      <c r="B20" s="27" t="inlineStr">
        <is>
          <t>2026-05-06</t>
        </is>
      </c>
      <c r="C20" s="28" t="n">
        <v>71668.09</v>
      </c>
      <c r="D20" s="28" t="n">
        <v>0</v>
      </c>
      <c r="E20" s="29" t="n">
        <v>6.858916</v>
      </c>
      <c r="F20" s="28" t="n">
        <v>491565.41</v>
      </c>
      <c r="G20" s="28" t="n">
        <v>491565.41</v>
      </c>
      <c r="H20" s="37" t="n">
        <v>-8434.59</v>
      </c>
      <c r="I20" s="38" t="n">
        <v>-0.0169</v>
      </c>
      <c r="J20" s="27" t="inlineStr">
        <is>
          <t>ซื้อ</t>
        </is>
      </c>
      <c r="K20" s="27" t="n">
        <v>0</v>
      </c>
      <c r="L20" s="27" t="n">
        <v>0</v>
      </c>
      <c r="M20" s="27" t="n">
        <v>15</v>
      </c>
    </row>
    <row r="21">
      <c r="A21" s="32" t="n">
        <v>20</v>
      </c>
      <c r="B21" s="32" t="inlineStr">
        <is>
          <t>2026-05-07</t>
        </is>
      </c>
      <c r="C21" s="33" t="n">
        <v>72060.7</v>
      </c>
      <c r="D21" s="33" t="n">
        <v>0</v>
      </c>
      <c r="E21" s="34" t="n">
        <v>6.858916</v>
      </c>
      <c r="F21" s="33" t="n">
        <v>494258.29</v>
      </c>
      <c r="G21" s="33" t="n">
        <v>494258.29</v>
      </c>
      <c r="H21" s="39" t="n">
        <v>-5741.71</v>
      </c>
      <c r="I21" s="40" t="n">
        <v>-0.0115</v>
      </c>
      <c r="J21" s="32" t="inlineStr">
        <is>
          <t>ถือ</t>
        </is>
      </c>
      <c r="K21" s="32" t="n">
        <v>0</v>
      </c>
      <c r="L21" s="32" t="n">
        <v>0</v>
      </c>
      <c r="M21" s="32" t="n">
        <v>15</v>
      </c>
    </row>
    <row r="22">
      <c r="A22" s="27" t="n">
        <v>21</v>
      </c>
      <c r="B22" s="27" t="inlineStr">
        <is>
          <t>2026-05-08</t>
        </is>
      </c>
      <c r="C22" s="28" t="n">
        <v>72116.72</v>
      </c>
      <c r="D22" s="28" t="n">
        <v>0</v>
      </c>
      <c r="E22" s="29" t="n">
        <v>6.858916</v>
      </c>
      <c r="F22" s="28" t="n">
        <v>494642.55</v>
      </c>
      <c r="G22" s="28" t="n">
        <v>494642.55</v>
      </c>
      <c r="H22" s="37" t="n">
        <v>-5357.45</v>
      </c>
      <c r="I22" s="38" t="n">
        <v>-0.0107</v>
      </c>
      <c r="J22" s="27" t="inlineStr">
        <is>
          <t>ขาย</t>
        </is>
      </c>
      <c r="K22" s="27" t="n">
        <v>0</v>
      </c>
      <c r="L22" s="27" t="n">
        <v>0</v>
      </c>
      <c r="M22" s="27" t="n">
        <v>15</v>
      </c>
    </row>
    <row r="23">
      <c r="A23" s="32" t="n">
        <v>22</v>
      </c>
      <c r="B23" s="32" t="inlineStr">
        <is>
          <t>2026-05-09</t>
        </is>
      </c>
      <c r="C23" s="33" t="n">
        <v>71932.21000000001</v>
      </c>
      <c r="D23" s="33" t="n">
        <v>0</v>
      </c>
      <c r="E23" s="34" t="n">
        <v>6.858916</v>
      </c>
      <c r="F23" s="33" t="n">
        <v>493377.03</v>
      </c>
      <c r="G23" s="33" t="n">
        <v>493377.03</v>
      </c>
      <c r="H23" s="39" t="n">
        <v>-6622.97</v>
      </c>
      <c r="I23" s="40" t="n">
        <v>-0.0132</v>
      </c>
      <c r="J23" s="32" t="inlineStr">
        <is>
          <t>ถือ</t>
        </is>
      </c>
      <c r="K23" s="32" t="n">
        <v>0</v>
      </c>
      <c r="L23" s="32" t="n">
        <v>0</v>
      </c>
      <c r="M23" s="32" t="n">
        <v>15</v>
      </c>
    </row>
    <row r="24">
      <c r="A24" s="27" t="n">
        <v>23</v>
      </c>
      <c r="B24" s="27" t="inlineStr">
        <is>
          <t>2026-05-10</t>
        </is>
      </c>
      <c r="C24" s="28" t="n">
        <v>71932.21000000001</v>
      </c>
      <c r="D24" s="28" t="n">
        <v>0</v>
      </c>
      <c r="E24" s="29" t="n">
        <v>6.858916</v>
      </c>
      <c r="F24" s="28" t="n">
        <v>493377.03</v>
      </c>
      <c r="G24" s="28" t="n">
        <v>493377.03</v>
      </c>
      <c r="H24" s="37" t="n">
        <v>-6622.97</v>
      </c>
      <c r="I24" s="38" t="n">
        <v>-0.0132</v>
      </c>
      <c r="J24" s="27" t="inlineStr">
        <is>
          <t>ถือ</t>
        </is>
      </c>
      <c r="K24" s="27" t="n">
        <v>0</v>
      </c>
      <c r="L24" s="27" t="n">
        <v>0</v>
      </c>
      <c r="M24" s="27" t="n">
        <v>15</v>
      </c>
    </row>
    <row r="25">
      <c r="A25" s="32" t="n">
        <v>24</v>
      </c>
      <c r="B25" s="32" t="inlineStr">
        <is>
          <t>2026-05-11</t>
        </is>
      </c>
      <c r="C25" s="33" t="n">
        <v>71757.74000000001</v>
      </c>
      <c r="D25" s="33" t="n">
        <v>0</v>
      </c>
      <c r="E25" s="34" t="n">
        <v>6.858916</v>
      </c>
      <c r="F25" s="33" t="n">
        <v>492180.32</v>
      </c>
      <c r="G25" s="33" t="n">
        <v>492180.32</v>
      </c>
      <c r="H25" s="39" t="n">
        <v>-7819.68</v>
      </c>
      <c r="I25" s="40" t="n">
        <v>-0.0156</v>
      </c>
      <c r="J25" s="32" t="inlineStr">
        <is>
          <t>ขาย</t>
        </is>
      </c>
      <c r="K25" s="32" t="n">
        <v>0</v>
      </c>
      <c r="L25" s="32" t="n">
        <v>0</v>
      </c>
      <c r="M25" s="32" t="n">
        <v>15</v>
      </c>
    </row>
    <row r="26">
      <c r="A26" s="27" t="n">
        <v>25</v>
      </c>
      <c r="B26" s="27" t="inlineStr">
        <is>
          <t>2026-05-12</t>
        </is>
      </c>
      <c r="C26" s="28" t="n">
        <v>72043.35000000001</v>
      </c>
      <c r="D26" s="28" t="n">
        <v>0</v>
      </c>
      <c r="E26" s="29" t="n">
        <v>6.858916</v>
      </c>
      <c r="F26" s="28" t="n">
        <v>494139.29</v>
      </c>
      <c r="G26" s="28" t="n">
        <v>494139.29</v>
      </c>
      <c r="H26" s="37" t="n">
        <v>-5860.71</v>
      </c>
      <c r="I26" s="38" t="n">
        <v>-0.0117</v>
      </c>
      <c r="J26" s="27" t="inlineStr">
        <is>
          <t>ถือ</t>
        </is>
      </c>
      <c r="K26" s="27" t="n">
        <v>0</v>
      </c>
      <c r="L26" s="27" t="n">
        <v>0</v>
      </c>
      <c r="M26" s="27" t="n">
        <v>15</v>
      </c>
    </row>
    <row r="27">
      <c r="A27" s="32" t="n">
        <v>26</v>
      </c>
      <c r="B27" s="32" t="inlineStr">
        <is>
          <t>2026-05-13</t>
        </is>
      </c>
      <c r="C27" s="33" t="n">
        <v>71879.28</v>
      </c>
      <c r="D27" s="33" t="n">
        <v>0</v>
      </c>
      <c r="E27" s="34" t="n">
        <v>6.858916</v>
      </c>
      <c r="F27" s="33" t="n">
        <v>493013.98</v>
      </c>
      <c r="G27" s="33" t="n">
        <v>493013.98</v>
      </c>
      <c r="H27" s="39" t="n">
        <v>-6986.02</v>
      </c>
      <c r="I27" s="40" t="n">
        <v>-0.014</v>
      </c>
      <c r="J27" s="32" t="inlineStr">
        <is>
          <t>ขาย</t>
        </is>
      </c>
      <c r="K27" s="32" t="n">
        <v>0</v>
      </c>
      <c r="L27" s="32" t="n">
        <v>0</v>
      </c>
      <c r="M27" s="32" t="n">
        <v>15</v>
      </c>
    </row>
    <row r="28">
      <c r="A28" s="27" t="n">
        <v>27</v>
      </c>
      <c r="B28" s="27" t="inlineStr">
        <is>
          <t>2026-05-14</t>
        </is>
      </c>
      <c r="C28" s="28" t="n">
        <v>71879.13</v>
      </c>
      <c r="D28" s="28" t="n">
        <v>0</v>
      </c>
      <c r="E28" s="29" t="n">
        <v>6.858916</v>
      </c>
      <c r="F28" s="28" t="n">
        <v>493012.93</v>
      </c>
      <c r="G28" s="28" t="n">
        <v>493012.93</v>
      </c>
      <c r="H28" s="37" t="n">
        <v>-6987.07</v>
      </c>
      <c r="I28" s="38" t="n">
        <v>-0.014</v>
      </c>
      <c r="J28" s="27" t="inlineStr">
        <is>
          <t>ถือ</t>
        </is>
      </c>
      <c r="K28" s="27" t="n">
        <v>0</v>
      </c>
      <c r="L28" s="27" t="n">
        <v>0</v>
      </c>
      <c r="M28" s="27" t="n">
        <v>15</v>
      </c>
    </row>
    <row r="29">
      <c r="A29" s="32" t="n">
        <v>28</v>
      </c>
      <c r="B29" s="32" t="inlineStr">
        <is>
          <t>2026-05-15</t>
        </is>
      </c>
      <c r="C29" s="33" t="n">
        <v>70250.13</v>
      </c>
      <c r="D29" s="33" t="n">
        <v>0</v>
      </c>
      <c r="E29" s="34" t="n">
        <v>6.858916</v>
      </c>
      <c r="F29" s="33" t="n">
        <v>481839.74</v>
      </c>
      <c r="G29" s="33" t="n">
        <v>481839.74</v>
      </c>
      <c r="H29" s="39" t="n">
        <v>-18160.26</v>
      </c>
      <c r="I29" s="40" t="n">
        <v>-0.0363</v>
      </c>
      <c r="J29" s="32" t="inlineStr">
        <is>
          <t>ขาย</t>
        </is>
      </c>
      <c r="K29" s="32" t="n">
        <v>0</v>
      </c>
      <c r="L29" s="32" t="n">
        <v>0</v>
      </c>
      <c r="M29" s="32" t="n">
        <v>15</v>
      </c>
    </row>
    <row r="30">
      <c r="A30" s="27" t="n">
        <v>29</v>
      </c>
      <c r="B30" s="27" t="inlineStr">
        <is>
          <t>2026-05-16</t>
        </is>
      </c>
      <c r="C30" s="28" t="n">
        <v>70444.31</v>
      </c>
      <c r="D30" s="28" t="n">
        <v>0</v>
      </c>
      <c r="E30" s="29" t="n">
        <v>6.858916</v>
      </c>
      <c r="F30" s="28" t="n">
        <v>483171.67</v>
      </c>
      <c r="G30" s="28" t="n">
        <v>483171.67</v>
      </c>
      <c r="H30" s="37" t="n">
        <v>-16828.33</v>
      </c>
      <c r="I30" s="38" t="n">
        <v>-0.0337</v>
      </c>
      <c r="J30" s="27" t="inlineStr">
        <is>
          <t>ถือ</t>
        </is>
      </c>
      <c r="K30" s="27" t="n">
        <v>0</v>
      </c>
      <c r="L30" s="27" t="n">
        <v>0</v>
      </c>
      <c r="M30" s="27" t="n">
        <v>15</v>
      </c>
    </row>
    <row r="31">
      <c r="A31" s="32" t="n">
        <v>30</v>
      </c>
      <c r="B31" s="32" t="inlineStr">
        <is>
          <t>2026-05-17</t>
        </is>
      </c>
      <c r="C31" s="33" t="n">
        <v>70444.31</v>
      </c>
      <c r="D31" s="33" t="n">
        <v>0</v>
      </c>
      <c r="E31" s="34" t="n">
        <v>6.858916</v>
      </c>
      <c r="F31" s="33" t="n">
        <v>483171.67</v>
      </c>
      <c r="G31" s="33" t="n">
        <v>483171.67</v>
      </c>
      <c r="H31" s="39" t="n">
        <v>-16828.33</v>
      </c>
      <c r="I31" s="40" t="n">
        <v>-0.0337</v>
      </c>
      <c r="J31" s="32" t="inlineStr">
        <is>
          <t>ถือ</t>
        </is>
      </c>
      <c r="K31" s="32" t="n">
        <v>0</v>
      </c>
      <c r="L31" s="32" t="n">
        <v>0</v>
      </c>
      <c r="M31" s="32" t="n">
        <v>15</v>
      </c>
    </row>
    <row r="32">
      <c r="A32" s="27" t="n">
        <v>31</v>
      </c>
      <c r="B32" s="27" t="inlineStr">
        <is>
          <t>2026-05-18</t>
        </is>
      </c>
      <c r="C32" s="28" t="n">
        <v>70169.92999999999</v>
      </c>
      <c r="D32" s="28" t="n">
        <v>0</v>
      </c>
      <c r="E32" s="29" t="n">
        <v>6.858916</v>
      </c>
      <c r="F32" s="28" t="n">
        <v>481289.69</v>
      </c>
      <c r="G32" s="28" t="n">
        <v>481289.69</v>
      </c>
      <c r="H32" s="37" t="n">
        <v>-18710.31</v>
      </c>
      <c r="I32" s="38" t="n">
        <v>-0.0374</v>
      </c>
      <c r="J32" s="27" t="inlineStr">
        <is>
          <t>ถือ</t>
        </is>
      </c>
      <c r="K32" s="27" t="n">
        <v>0</v>
      </c>
      <c r="L32" s="27" t="n">
        <v>0</v>
      </c>
      <c r="M32" s="27" t="n">
        <v>15</v>
      </c>
    </row>
    <row r="33">
      <c r="A33" s="32" t="n">
        <v>32</v>
      </c>
      <c r="B33" s="32" t="inlineStr">
        <is>
          <t>2026-05-19</t>
        </is>
      </c>
      <c r="C33" s="33" t="n">
        <v>69984.78</v>
      </c>
      <c r="D33" s="33" t="n">
        <v>0</v>
      </c>
      <c r="E33" s="34" t="n">
        <v>6.858916</v>
      </c>
      <c r="F33" s="33" t="n">
        <v>480019.75</v>
      </c>
      <c r="G33" s="33" t="n">
        <v>480019.75</v>
      </c>
      <c r="H33" s="39" t="n">
        <v>-19980.25</v>
      </c>
      <c r="I33" s="40" t="n">
        <v>-0.04</v>
      </c>
      <c r="J33" s="32" t="inlineStr">
        <is>
          <t>ซื้อ</t>
        </is>
      </c>
      <c r="K33" s="32" t="n">
        <v>0</v>
      </c>
      <c r="L33" s="32" t="n">
        <v>0</v>
      </c>
      <c r="M33" s="32" t="n">
        <v>15</v>
      </c>
    </row>
    <row r="34">
      <c r="A34" s="27" t="n">
        <v>33</v>
      </c>
      <c r="B34" s="27" t="inlineStr">
        <is>
          <t>2026-05-20</t>
        </is>
      </c>
      <c r="C34" s="28" t="n">
        <v>69110.28</v>
      </c>
      <c r="D34" s="28" t="n">
        <v>0</v>
      </c>
      <c r="E34" s="29" t="n">
        <v>6.858916</v>
      </c>
      <c r="F34" s="28" t="n">
        <v>474021.6</v>
      </c>
      <c r="G34" s="28" t="n">
        <v>474021.6</v>
      </c>
      <c r="H34" s="37" t="n">
        <v>-25978.4</v>
      </c>
      <c r="I34" s="38" t="n">
        <v>-0.052</v>
      </c>
      <c r="J34" s="27" t="inlineStr">
        <is>
          <t>ขาย</t>
        </is>
      </c>
      <c r="K34" s="27" t="n">
        <v>0</v>
      </c>
      <c r="L34" s="27" t="n">
        <v>0</v>
      </c>
      <c r="M34" s="27" t="n">
        <v>15</v>
      </c>
    </row>
    <row r="35">
      <c r="A35" s="32" t="n">
        <v>34</v>
      </c>
      <c r="B35" s="32" t="inlineStr">
        <is>
          <t>2026-05-21</t>
        </is>
      </c>
      <c r="C35" s="33" t="n">
        <v>69890.14999999999</v>
      </c>
      <c r="D35" s="33" t="n">
        <v>0</v>
      </c>
      <c r="E35" s="34" t="n">
        <v>6.858916</v>
      </c>
      <c r="F35" s="33" t="n">
        <v>479370.72</v>
      </c>
      <c r="G35" s="33" t="n">
        <v>479370.72</v>
      </c>
      <c r="H35" s="39" t="n">
        <v>-20629.28</v>
      </c>
      <c r="I35" s="40" t="n">
        <v>-0.0413</v>
      </c>
      <c r="J35" s="32" t="inlineStr">
        <is>
          <t>ซื้อ</t>
        </is>
      </c>
      <c r="K35" s="32" t="n">
        <v>0</v>
      </c>
      <c r="L35" s="32" t="n">
        <v>0</v>
      </c>
      <c r="M35" s="32" t="n">
        <v>15</v>
      </c>
    </row>
    <row r="36">
      <c r="A36" s="27" t="n">
        <v>35</v>
      </c>
      <c r="B36" s="27" t="inlineStr">
        <is>
          <t>2026-05-22</t>
        </is>
      </c>
      <c r="C36" s="28" t="n">
        <v>70044.00999999999</v>
      </c>
      <c r="D36" s="28" t="n">
        <v>0</v>
      </c>
      <c r="E36" s="29" t="n">
        <v>6.858916</v>
      </c>
      <c r="F36" s="28" t="n">
        <v>480426.01</v>
      </c>
      <c r="G36" s="28" t="n">
        <v>480426.01</v>
      </c>
      <c r="H36" s="37" t="n">
        <v>-19573.99</v>
      </c>
      <c r="I36" s="38" t="n">
        <v>-0.0391</v>
      </c>
      <c r="J36" s="27" t="inlineStr">
        <is>
          <t>ซื้อ</t>
        </is>
      </c>
      <c r="K36" s="27" t="n">
        <v>0</v>
      </c>
      <c r="L36" s="27" t="n">
        <v>0</v>
      </c>
      <c r="M36" s="27" t="n">
        <v>15</v>
      </c>
    </row>
    <row r="37">
      <c r="A37" s="32" t="n">
        <v>36</v>
      </c>
      <c r="B37" s="32" t="inlineStr">
        <is>
          <t>2026-05-23</t>
        </is>
      </c>
      <c r="C37" s="33" t="n">
        <v>69629.27</v>
      </c>
      <c r="D37" s="33" t="n">
        <v>0</v>
      </c>
      <c r="E37" s="34" t="n">
        <v>6.858916</v>
      </c>
      <c r="F37" s="33" t="n">
        <v>477581.32</v>
      </c>
      <c r="G37" s="33" t="n">
        <v>477581.32</v>
      </c>
      <c r="H37" s="39" t="n">
        <v>-22418.68</v>
      </c>
      <c r="I37" s="40" t="n">
        <v>-0.04480000000000001</v>
      </c>
      <c r="J37" s="32" t="inlineStr">
        <is>
          <t>ขาย</t>
        </is>
      </c>
      <c r="K37" s="32" t="n">
        <v>0</v>
      </c>
      <c r="L37" s="32" t="n">
        <v>0</v>
      </c>
      <c r="M37" s="32" t="n">
        <v>15</v>
      </c>
    </row>
    <row r="38">
      <c r="A38" s="27" t="n">
        <v>37</v>
      </c>
      <c r="B38" s="27" t="inlineStr">
        <is>
          <t>2026-05-24</t>
        </is>
      </c>
      <c r="C38" s="28" t="n">
        <v>69825.32000000001</v>
      </c>
      <c r="D38" s="28" t="n">
        <v>0</v>
      </c>
      <c r="E38" s="29" t="n">
        <v>6.858916</v>
      </c>
      <c r="F38" s="28" t="n">
        <v>478926.04</v>
      </c>
      <c r="G38" s="28" t="n">
        <v>478926.04</v>
      </c>
      <c r="H38" s="37" t="n">
        <v>-21073.96</v>
      </c>
      <c r="I38" s="38" t="n">
        <v>-0.0421</v>
      </c>
      <c r="J38" s="27" t="inlineStr">
        <is>
          <t>ขาย</t>
        </is>
      </c>
      <c r="K38" s="27" t="n">
        <v>0</v>
      </c>
      <c r="L38" s="27" t="n">
        <v>0</v>
      </c>
      <c r="M38" s="27" t="n">
        <v>15</v>
      </c>
    </row>
    <row r="39">
      <c r="A39" s="32" t="n">
        <v>38</v>
      </c>
      <c r="B39" s="32" t="inlineStr">
        <is>
          <t>2026-05-25</t>
        </is>
      </c>
      <c r="C39" s="33" t="n">
        <v>69825.32000000001</v>
      </c>
      <c r="D39" s="33" t="n">
        <v>0</v>
      </c>
      <c r="E39" s="34" t="n">
        <v>6.858916</v>
      </c>
      <c r="F39" s="33" t="n">
        <v>478926.04</v>
      </c>
      <c r="G39" s="33" t="n">
        <v>478926.04</v>
      </c>
      <c r="H39" s="39" t="n">
        <v>-21073.96</v>
      </c>
      <c r="I39" s="40" t="n">
        <v>-0.0421</v>
      </c>
      <c r="J39" s="32" t="inlineStr">
        <is>
          <t>ขาย</t>
        </is>
      </c>
      <c r="K39" s="32" t="n">
        <v>0</v>
      </c>
      <c r="L39" s="32" t="n">
        <v>0</v>
      </c>
      <c r="M39" s="32" t="n">
        <v>15</v>
      </c>
    </row>
    <row r="40">
      <c r="A40" s="27" t="n">
        <v>39</v>
      </c>
      <c r="B40" s="27" t="inlineStr">
        <is>
          <t>2026-05-26</t>
        </is>
      </c>
      <c r="C40" s="28" t="n">
        <v>69807.59</v>
      </c>
      <c r="D40" s="28" t="n">
        <v>0</v>
      </c>
      <c r="E40" s="29" t="n">
        <v>6.858916</v>
      </c>
      <c r="F40" s="28" t="n">
        <v>478804.41</v>
      </c>
      <c r="G40" s="28" t="n">
        <v>478804.41</v>
      </c>
      <c r="H40" s="37" t="n">
        <v>-21195.59</v>
      </c>
      <c r="I40" s="38" t="n">
        <v>-0.0424</v>
      </c>
      <c r="J40" s="27" t="inlineStr">
        <is>
          <t>ถือ</t>
        </is>
      </c>
      <c r="K40" s="27" t="n">
        <v>0</v>
      </c>
      <c r="L40" s="27" t="n">
        <v>0</v>
      </c>
      <c r="M40" s="27" t="n">
        <v>15</v>
      </c>
    </row>
    <row r="41">
      <c r="A41" s="32" t="n">
        <v>40</v>
      </c>
      <c r="B41" s="32" t="inlineStr">
        <is>
          <t>2026-05-27</t>
        </is>
      </c>
      <c r="C41" s="33" t="n">
        <v>69263.98</v>
      </c>
      <c r="D41" s="33" t="n">
        <v>0</v>
      </c>
      <c r="E41" s="34" t="n">
        <v>6.858916</v>
      </c>
      <c r="F41" s="33" t="n">
        <v>475075.87</v>
      </c>
      <c r="G41" s="33" t="n">
        <v>475075.87</v>
      </c>
      <c r="H41" s="39" t="n">
        <v>-24924.13</v>
      </c>
      <c r="I41" s="40" t="n">
        <v>-0.0498</v>
      </c>
      <c r="J41" s="32" t="inlineStr">
        <is>
          <t>ขาย</t>
        </is>
      </c>
      <c r="K41" s="32" t="n">
        <v>0</v>
      </c>
      <c r="L41" s="32" t="n">
        <v>0</v>
      </c>
      <c r="M41" s="32" t="n">
        <v>15</v>
      </c>
    </row>
    <row r="42">
      <c r="A42" s="27" t="n">
        <v>41</v>
      </c>
      <c r="B42" s="27" t="inlineStr">
        <is>
          <t>2026-05-28</t>
        </is>
      </c>
      <c r="C42" s="28" t="n">
        <v>68315.72</v>
      </c>
      <c r="D42" s="28" t="n">
        <v>0</v>
      </c>
      <c r="E42" s="29" t="n">
        <v>6.858916</v>
      </c>
      <c r="F42" s="28" t="n">
        <v>468571.84</v>
      </c>
      <c r="G42" s="28" t="n">
        <v>468571.84</v>
      </c>
      <c r="H42" s="37" t="n">
        <v>-31428.16</v>
      </c>
      <c r="I42" s="38" t="n">
        <v>-0.0629</v>
      </c>
      <c r="J42" s="27" t="inlineStr">
        <is>
          <t>ขาย</t>
        </is>
      </c>
      <c r="K42" s="27" t="n">
        <v>0</v>
      </c>
      <c r="L42" s="27" t="n">
        <v>0</v>
      </c>
      <c r="M42" s="27" t="n">
        <v>15</v>
      </c>
    </row>
    <row r="43">
      <c r="A43" s="32" t="n">
        <v>42</v>
      </c>
      <c r="B43" s="32" t="inlineStr">
        <is>
          <t>2026-05-29</t>
        </is>
      </c>
      <c r="C43" s="33" t="n">
        <v>69891.53999999999</v>
      </c>
      <c r="D43" s="33" t="n">
        <v>0</v>
      </c>
      <c r="E43" s="34" t="n">
        <v>6.858916</v>
      </c>
      <c r="F43" s="33" t="n">
        <v>479380.26</v>
      </c>
      <c r="G43" s="33" t="n">
        <v>479380.26</v>
      </c>
      <c r="H43" s="39" t="n">
        <v>-20619.74</v>
      </c>
      <c r="I43" s="40" t="n">
        <v>-0.0412</v>
      </c>
      <c r="J43" s="32" t="inlineStr">
        <is>
          <t>ซื้อ</t>
        </is>
      </c>
      <c r="K43" s="32" t="n">
        <v>0</v>
      </c>
      <c r="L43" s="32" t="n">
        <v>0</v>
      </c>
      <c r="M43" s="32" t="n">
        <v>15</v>
      </c>
    </row>
    <row r="44">
      <c r="A44" s="27" t="n">
        <v>43</v>
      </c>
      <c r="B44" s="27" t="inlineStr">
        <is>
          <t>2026-05-30</t>
        </is>
      </c>
      <c r="C44" s="28" t="n">
        <v>70092.35000000001</v>
      </c>
      <c r="D44" s="28" t="n">
        <v>0</v>
      </c>
      <c r="E44" s="29" t="n">
        <v>6.858916</v>
      </c>
      <c r="F44" s="28" t="n">
        <v>480757.58</v>
      </c>
      <c r="G44" s="28" t="n">
        <v>480757.58</v>
      </c>
      <c r="H44" s="37" t="n">
        <v>-19242.42</v>
      </c>
      <c r="I44" s="38" t="n">
        <v>-0.0385</v>
      </c>
      <c r="J44" s="27" t="inlineStr">
        <is>
          <t>ถือ</t>
        </is>
      </c>
      <c r="K44" s="27" t="n">
        <v>0</v>
      </c>
      <c r="L44" s="27" t="n">
        <v>0</v>
      </c>
      <c r="M44" s="27" t="n">
        <v>15</v>
      </c>
    </row>
    <row r="45">
      <c r="A45" s="32" t="n">
        <v>44</v>
      </c>
      <c r="B45" s="32" t="inlineStr">
        <is>
          <t>2026-05-31</t>
        </is>
      </c>
      <c r="C45" s="33" t="n">
        <v>70446.66</v>
      </c>
      <c r="D45" s="33" t="n">
        <v>0</v>
      </c>
      <c r="E45" s="34" t="n">
        <v>6.858916</v>
      </c>
      <c r="F45" s="33" t="n">
        <v>483187.73</v>
      </c>
      <c r="G45" s="33" t="n">
        <v>483187.73</v>
      </c>
      <c r="H45" s="39" t="n">
        <v>-16812.27</v>
      </c>
      <c r="I45" s="40" t="n">
        <v>-0.0336</v>
      </c>
      <c r="J45" s="32" t="inlineStr">
        <is>
          <t>ถือ</t>
        </is>
      </c>
      <c r="K45" s="32" t="n">
        <v>0</v>
      </c>
      <c r="L45" s="32" t="n">
        <v>0</v>
      </c>
      <c r="M45" s="32" t="n">
        <v>15</v>
      </c>
    </row>
    <row r="46">
      <c r="A46" s="27" t="n">
        <v>45</v>
      </c>
      <c r="B46" s="27" t="inlineStr">
        <is>
          <t>2026-06-01</t>
        </is>
      </c>
      <c r="C46" s="28" t="n">
        <v>69749.91</v>
      </c>
      <c r="D46" s="28" t="n">
        <v>0</v>
      </c>
      <c r="E46" s="29" t="n">
        <v>6.858916</v>
      </c>
      <c r="F46" s="28" t="n">
        <v>478408.79</v>
      </c>
      <c r="G46" s="28" t="n">
        <v>478408.79</v>
      </c>
      <c r="H46" s="37" t="n">
        <v>-21591.21</v>
      </c>
      <c r="I46" s="38" t="n">
        <v>-0.0432</v>
      </c>
      <c r="J46" s="27" t="inlineStr">
        <is>
          <t>ขาย</t>
        </is>
      </c>
      <c r="K46" s="27" t="n">
        <v>0</v>
      </c>
      <c r="L46" s="27" t="n">
        <v>0</v>
      </c>
      <c r="M46" s="27" t="n">
        <v>15</v>
      </c>
    </row>
    <row r="47">
      <c r="A47" s="32" t="n">
        <v>46</v>
      </c>
      <c r="B47" s="32" t="inlineStr">
        <is>
          <t>2026-06-02</t>
        </is>
      </c>
      <c r="C47" s="33" t="n">
        <v>69957.74000000001</v>
      </c>
      <c r="D47" s="33" t="n">
        <v>0</v>
      </c>
      <c r="E47" s="34" t="n">
        <v>6.858916</v>
      </c>
      <c r="F47" s="33" t="n">
        <v>479834.32</v>
      </c>
      <c r="G47" s="33" t="n">
        <v>479834.32</v>
      </c>
      <c r="H47" s="39" t="n">
        <v>-20165.68</v>
      </c>
      <c r="I47" s="40" t="n">
        <v>-0.0403</v>
      </c>
      <c r="J47" s="32" t="inlineStr">
        <is>
          <t>ถือ</t>
        </is>
      </c>
      <c r="K47" s="32" t="n">
        <v>0</v>
      </c>
      <c r="L47" s="32" t="n">
        <v>0</v>
      </c>
      <c r="M47" s="32" t="n">
        <v>15</v>
      </c>
    </row>
    <row r="48">
      <c r="A48" s="27" t="n">
        <v>47</v>
      </c>
      <c r="B48" s="27" t="inlineStr">
        <is>
          <t>2026-06-03</t>
        </is>
      </c>
      <c r="C48" s="28" t="n">
        <v>69491.53999999999</v>
      </c>
      <c r="D48" s="28" t="n">
        <v>0</v>
      </c>
      <c r="E48" s="29" t="n">
        <v>6.858916</v>
      </c>
      <c r="F48" s="28" t="n">
        <v>476636.7</v>
      </c>
      <c r="G48" s="28" t="n">
        <v>476636.7</v>
      </c>
      <c r="H48" s="37" t="n">
        <v>-23363.3</v>
      </c>
      <c r="I48" s="38" t="n">
        <v>-0.0467</v>
      </c>
      <c r="J48" s="27" t="inlineStr">
        <is>
          <t>ขาย</t>
        </is>
      </c>
      <c r="K48" s="27" t="n">
        <v>0</v>
      </c>
      <c r="L48" s="27" t="n">
        <v>0</v>
      </c>
      <c r="M48" s="27" t="n">
        <v>15</v>
      </c>
    </row>
    <row r="49">
      <c r="A49" s="32" t="n">
        <v>48</v>
      </c>
      <c r="B49" s="32" t="inlineStr">
        <is>
          <t>2026-06-04</t>
        </is>
      </c>
      <c r="C49" s="33" t="n">
        <v>69408.52</v>
      </c>
      <c r="D49" s="33" t="n">
        <v>0</v>
      </c>
      <c r="E49" s="34" t="n">
        <v>6.858916</v>
      </c>
      <c r="F49" s="33" t="n">
        <v>476067.23</v>
      </c>
      <c r="G49" s="33" t="n">
        <v>476067.23</v>
      </c>
      <c r="H49" s="39" t="n">
        <v>-23932.77</v>
      </c>
      <c r="I49" s="40" t="n">
        <v>-0.0479</v>
      </c>
      <c r="J49" s="32" t="inlineStr">
        <is>
          <t>ถือ</t>
        </is>
      </c>
      <c r="K49" s="32" t="n">
        <v>0</v>
      </c>
      <c r="L49" s="32" t="n">
        <v>0</v>
      </c>
      <c r="M49" s="32" t="n">
        <v>15</v>
      </c>
    </row>
    <row r="50">
      <c r="A50" s="27" t="n">
        <v>49</v>
      </c>
      <c r="B50" s="27" t="inlineStr">
        <is>
          <t>2026-06-05</t>
        </is>
      </c>
      <c r="C50" s="28" t="n">
        <v>68951.09</v>
      </c>
      <c r="D50" s="28" t="n">
        <v>0</v>
      </c>
      <c r="E50" s="29" t="n">
        <v>6.858916</v>
      </c>
      <c r="F50" s="28" t="n">
        <v>472929.76</v>
      </c>
      <c r="G50" s="28" t="n">
        <v>472929.76</v>
      </c>
      <c r="H50" s="37" t="n">
        <v>-27070.24</v>
      </c>
      <c r="I50" s="38" t="n">
        <v>-0.0541</v>
      </c>
      <c r="J50" s="27" t="inlineStr">
        <is>
          <t>ขาย</t>
        </is>
      </c>
      <c r="K50" s="27" t="n">
        <v>0</v>
      </c>
      <c r="L50" s="27" t="n">
        <v>0</v>
      </c>
      <c r="M50" s="27" t="n">
        <v>15</v>
      </c>
    </row>
    <row r="51">
      <c r="A51" s="32" t="n">
        <v>50</v>
      </c>
      <c r="B51" s="32" t="inlineStr">
        <is>
          <t>2026-06-06</t>
        </is>
      </c>
      <c r="C51" s="33" t="n">
        <v>67520.69</v>
      </c>
      <c r="D51" s="33" t="n">
        <v>0</v>
      </c>
      <c r="E51" s="34" t="n">
        <v>6.858916</v>
      </c>
      <c r="F51" s="33" t="n">
        <v>463118.76</v>
      </c>
      <c r="G51" s="33" t="n">
        <v>463118.76</v>
      </c>
      <c r="H51" s="39" t="n">
        <v>-36881.24</v>
      </c>
      <c r="I51" s="40" t="n">
        <v>-0.0738</v>
      </c>
      <c r="J51" s="32" t="inlineStr">
        <is>
          <t>ขาย</t>
        </is>
      </c>
      <c r="K51" s="32" t="n">
        <v>0</v>
      </c>
      <c r="L51" s="32" t="n">
        <v>0</v>
      </c>
      <c r="M51" s="32" t="n">
        <v>15</v>
      </c>
    </row>
    <row r="52">
      <c r="A52" s="27" t="n">
        <v>51</v>
      </c>
      <c r="B52" s="27" t="inlineStr">
        <is>
          <t>2026-06-07</t>
        </is>
      </c>
      <c r="C52" s="28" t="n">
        <v>67697.48</v>
      </c>
      <c r="D52" s="28" t="n">
        <v>0</v>
      </c>
      <c r="E52" s="29" t="n">
        <v>6.858916</v>
      </c>
      <c r="F52" s="28" t="n">
        <v>464331.35</v>
      </c>
      <c r="G52" s="28" t="n">
        <v>464331.35</v>
      </c>
      <c r="H52" s="37" t="n">
        <v>-35668.65</v>
      </c>
      <c r="I52" s="38" t="n">
        <v>-0.0713</v>
      </c>
      <c r="J52" s="27" t="inlineStr">
        <is>
          <t>ขาย</t>
        </is>
      </c>
      <c r="K52" s="27" t="n">
        <v>0</v>
      </c>
      <c r="L52" s="27" t="n">
        <v>0</v>
      </c>
      <c r="M52" s="27" t="n">
        <v>15</v>
      </c>
    </row>
    <row r="53">
      <c r="A53" s="32" t="n">
        <v>52</v>
      </c>
      <c r="B53" s="32" t="inlineStr">
        <is>
          <t>2026-06-08</t>
        </is>
      </c>
      <c r="C53" s="33" t="n">
        <v>67273.2</v>
      </c>
      <c r="D53" s="33" t="n">
        <v>0</v>
      </c>
      <c r="E53" s="34" t="n">
        <v>6.858916</v>
      </c>
      <c r="F53" s="33" t="n">
        <v>461421.24</v>
      </c>
      <c r="G53" s="33" t="n">
        <v>461421.24</v>
      </c>
      <c r="H53" s="39" t="n">
        <v>-38578.76</v>
      </c>
      <c r="I53" s="40" t="n">
        <v>-0.07719999999999999</v>
      </c>
      <c r="J53" s="32" t="inlineStr">
        <is>
          <t>ซื้อ</t>
        </is>
      </c>
      <c r="K53" s="32" t="n">
        <v>0</v>
      </c>
      <c r="L53" s="32" t="n">
        <v>0</v>
      </c>
      <c r="M53" s="32" t="n">
        <v>15</v>
      </c>
    </row>
    <row r="54">
      <c r="A54" s="27" t="n">
        <v>53</v>
      </c>
      <c r="B54" s="27" t="inlineStr">
        <is>
          <t>2026-06-09</t>
        </is>
      </c>
      <c r="C54" s="28" t="n">
        <v>67754.86</v>
      </c>
      <c r="D54" s="28" t="n">
        <v>0</v>
      </c>
      <c r="E54" s="29" t="n">
        <v>6.858916</v>
      </c>
      <c r="F54" s="28" t="n">
        <v>464724.94</v>
      </c>
      <c r="G54" s="28" t="n">
        <v>464724.94</v>
      </c>
      <c r="H54" s="37" t="n">
        <v>-35275.06</v>
      </c>
      <c r="I54" s="38" t="n">
        <v>-0.0706</v>
      </c>
      <c r="J54" s="27" t="inlineStr">
        <is>
          <t>ซื้อ</t>
        </is>
      </c>
      <c r="K54" s="27" t="n">
        <v>0</v>
      </c>
      <c r="L54" s="27" t="n">
        <v>0</v>
      </c>
      <c r="M54" s="27" t="n">
        <v>15</v>
      </c>
    </row>
    <row r="55">
      <c r="A55" s="32" t="n">
        <v>54</v>
      </c>
      <c r="B55" s="32" t="inlineStr">
        <is>
          <t>2026-06-10</t>
        </is>
      </c>
      <c r="C55" s="33" t="n">
        <v>65877.59</v>
      </c>
      <c r="D55" s="33" t="n">
        <v>0</v>
      </c>
      <c r="E55" s="34" t="n">
        <v>6.858916</v>
      </c>
      <c r="F55" s="33" t="n">
        <v>451848.9</v>
      </c>
      <c r="G55" s="33" t="n">
        <v>451848.9</v>
      </c>
      <c r="H55" s="39" t="n">
        <v>-48151.1</v>
      </c>
      <c r="I55" s="40" t="n">
        <v>-0.09630000000000001</v>
      </c>
      <c r="J55" s="32" t="inlineStr">
        <is>
          <t>ขาย</t>
        </is>
      </c>
      <c r="K55" s="32" t="n">
        <v>0</v>
      </c>
      <c r="L55" s="32" t="n">
        <v>0</v>
      </c>
      <c r="M55" s="32" t="n">
        <v>15</v>
      </c>
    </row>
    <row r="56">
      <c r="A56" s="27" t="n">
        <v>55</v>
      </c>
      <c r="B56" s="27" t="inlineStr">
        <is>
          <t>2026-06-11</t>
        </is>
      </c>
      <c r="C56" s="28" t="n">
        <v>63956.7</v>
      </c>
      <c r="D56" s="28" t="n">
        <v>0</v>
      </c>
      <c r="E56" s="29" t="n">
        <v>6.858916</v>
      </c>
      <c r="F56" s="28" t="n">
        <v>438673.68</v>
      </c>
      <c r="G56" s="28" t="n">
        <v>438673.68</v>
      </c>
      <c r="H56" s="37" t="n">
        <v>-61326.32</v>
      </c>
      <c r="I56" s="38" t="n">
        <v>-0.1227</v>
      </c>
      <c r="J56" s="27" t="inlineStr">
        <is>
          <t>ถือ</t>
        </is>
      </c>
      <c r="K56" s="27" t="n">
        <v>0</v>
      </c>
      <c r="L56" s="27" t="n">
        <v>0</v>
      </c>
      <c r="M56" s="27" t="n">
        <v>15</v>
      </c>
    </row>
    <row r="57">
      <c r="A57" s="32" t="n">
        <v>56</v>
      </c>
      <c r="B57" s="32" t="inlineStr">
        <is>
          <t>2026-06-12</t>
        </is>
      </c>
      <c r="C57" s="33" t="n">
        <v>65179.24</v>
      </c>
      <c r="D57" s="33" t="n">
        <v>0</v>
      </c>
      <c r="E57" s="34" t="n">
        <v>6.858916</v>
      </c>
      <c r="F57" s="33" t="n">
        <v>447058.98</v>
      </c>
      <c r="G57" s="33" t="n">
        <v>447058.98</v>
      </c>
      <c r="H57" s="39" t="n">
        <v>-52941.02</v>
      </c>
      <c r="I57" s="40" t="n">
        <v>-0.1059</v>
      </c>
      <c r="J57" s="32" t="inlineStr">
        <is>
          <t>ซื้อ</t>
        </is>
      </c>
      <c r="K57" s="32" t="n">
        <v>0</v>
      </c>
      <c r="L57" s="32" t="n">
        <v>0</v>
      </c>
      <c r="M57" s="32" t="n">
        <v>15</v>
      </c>
    </row>
    <row r="58">
      <c r="A58" s="27" t="n">
        <v>57</v>
      </c>
      <c r="B58" s="27" t="inlineStr">
        <is>
          <t>2026-06-13</t>
        </is>
      </c>
      <c r="C58" s="28" t="n">
        <v>65532.18</v>
      </c>
      <c r="D58" s="28" t="n">
        <v>0</v>
      </c>
      <c r="E58" s="29" t="n">
        <v>6.858916</v>
      </c>
      <c r="F58" s="28" t="n">
        <v>449479.78</v>
      </c>
      <c r="G58" s="28" t="n">
        <v>449479.78</v>
      </c>
      <c r="H58" s="37" t="n">
        <v>-50520.22</v>
      </c>
      <c r="I58" s="38" t="n">
        <v>-0.101</v>
      </c>
      <c r="J58" s="27" t="inlineStr">
        <is>
          <t>ถือ</t>
        </is>
      </c>
      <c r="K58" s="27" t="n">
        <v>0</v>
      </c>
      <c r="L58" s="27" t="n">
        <v>0</v>
      </c>
      <c r="M58" s="27" t="n">
        <v>15</v>
      </c>
    </row>
    <row r="59">
      <c r="A59" s="32" t="n">
        <v>58</v>
      </c>
      <c r="B59" s="32" t="inlineStr">
        <is>
          <t>2026-06-14</t>
        </is>
      </c>
      <c r="C59" s="33" t="n">
        <v>65515.18</v>
      </c>
      <c r="D59" s="33" t="n">
        <v>0</v>
      </c>
      <c r="E59" s="34" t="n">
        <v>6.858916</v>
      </c>
      <c r="F59" s="33" t="n">
        <v>449363.16</v>
      </c>
      <c r="G59" s="33" t="n">
        <v>449363.16</v>
      </c>
      <c r="H59" s="39" t="n">
        <v>-50636.84</v>
      </c>
      <c r="I59" s="40" t="n">
        <v>-0.1013</v>
      </c>
      <c r="J59" s="32" t="inlineStr">
        <is>
          <t>ถือ</t>
        </is>
      </c>
      <c r="K59" s="32" t="n">
        <v>0</v>
      </c>
      <c r="L59" s="32" t="n">
        <v>0</v>
      </c>
      <c r="M59" s="32" t="n">
        <v>15</v>
      </c>
    </row>
  </sheetData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2026-06-14T11:54:09Z</dcterms:created>
  <dcterms:modified xsi:type="dcterms:W3CDTF">2026-06-14T11:54:09Z</dcterms:modified>
</cp:coreProperties>
</file>