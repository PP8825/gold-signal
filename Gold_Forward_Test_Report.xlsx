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Trade Log" sheetId="2" state="visible" r:id="rId2"/>
    <sheet xmlns:r="http://schemas.openxmlformats.org/officeDocument/2006/relationships" name="Portfolio Value" sheetId="3" state="visible" r:id="rId3"/>
    <sheet xmlns:r="http://schemas.openxmlformats.org/officeDocument/2006/relationships" name="Daily Performance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;(#,##0.00);&quot;-&quot;"/>
    <numFmt numFmtId="165" formatCode="#,##0.0000"/>
  </numFmts>
  <fonts count="14">
    <font>
      <name val="Calibri"/>
      <family val="2"/>
      <color theme="1"/>
      <sz val="11"/>
      <scheme val="minor"/>
    </font>
    <font>
      <name val="Arial"/>
      <b val="1"/>
      <color rgb="001a1a1a"/>
      <sz val="16"/>
    </font>
    <font>
      <name val="Arial"/>
      <color rgb="00666666"/>
      <sz val="10"/>
    </font>
    <font>
      <name val="Arial"/>
      <b val="1"/>
      <color rgb="002C3E50"/>
      <sz val="11"/>
    </font>
    <font>
      <name val="Arial"/>
      <sz val="11"/>
    </font>
    <font>
      <name val="Arial"/>
      <b val="1"/>
      <color rgb="001a6b1a"/>
      <sz val="12"/>
    </font>
    <font>
      <name val="Arial"/>
      <b val="1"/>
      <sz val="11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a6b1a"/>
      <sz val="10"/>
    </font>
    <font>
      <name val="Arial"/>
      <b val="1"/>
      <color rgb="00CC0000"/>
      <sz val="10"/>
    </font>
    <font>
      <name val="Arial"/>
      <b val="1"/>
      <color rgb="00336699"/>
      <sz val="10"/>
    </font>
    <font>
      <name val="Arial"/>
      <color rgb="001a6b1a"/>
      <sz val="10"/>
    </font>
    <font>
      <name val="Arial"/>
      <color rgb="00CC0000"/>
      <sz val="10"/>
    </font>
  </fonts>
  <fills count="6">
    <fill>
      <patternFill/>
    </fill>
    <fill>
      <patternFill patternType="gray125"/>
    </fill>
    <fill>
      <patternFill patternType="solid">
        <fgColor rgb="002C3E50"/>
      </patternFill>
    </fill>
    <fill>
      <patternFill patternType="solid">
        <fgColor rgb="00E8F5E9"/>
      </patternFill>
    </fill>
    <fill>
      <patternFill patternType="solid">
        <fgColor rgb="00FFEBEE"/>
      </patternFill>
    </fill>
    <fill>
      <patternFill patternType="solid">
        <fgColor rgb="00F7F9FC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1" pivotButton="0" quotePrefix="0" xfId="0"/>
    <xf numFmtId="4" fontId="4" fillId="0" borderId="1" pivotButton="0" quotePrefix="0" xfId="0"/>
    <xf numFmtId="0" fontId="4" fillId="0" borderId="1" pivotButton="0" quotePrefix="0" xfId="0"/>
    <xf numFmtId="0" fontId="5" fillId="0" borderId="0" pivotButton="0" quotePrefix="0" xfId="0"/>
    <xf numFmtId="4" fontId="5" fillId="0" borderId="1" pivotButton="0" quotePrefix="0" xfId="0"/>
    <xf numFmtId="0" fontId="3" fillId="0" borderId="0" pivotButton="0" quotePrefix="0" xfId="0"/>
    <xf numFmtId="164" fontId="6" fillId="0" borderId="1" pivotButton="0" quotePrefix="0" xfId="0"/>
    <xf numFmtId="10" fontId="6" fillId="0" borderId="1" pivotButton="0" quotePrefix="0" xfId="0"/>
    <xf numFmtId="0" fontId="4" fillId="0" borderId="0" pivotButton="0" quotePrefix="0" xfId="0"/>
    <xf numFmtId="0" fontId="7" fillId="2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/>
    </xf>
    <xf numFmtId="0" fontId="9" fillId="3" borderId="1" applyAlignment="1" pivotButton="0" quotePrefix="0" xfId="0">
      <alignment horizontal="center"/>
    </xf>
    <xf numFmtId="4" fontId="8" fillId="3" borderId="1" applyAlignment="1" pivotButton="0" quotePrefix="0" xfId="0">
      <alignment horizontal="center"/>
    </xf>
    <xf numFmtId="165" fontId="8" fillId="3" borderId="1" applyAlignment="1" pivotButton="0" quotePrefix="0" xfId="0">
      <alignment horizontal="center"/>
    </xf>
    <xf numFmtId="0" fontId="8" fillId="4" borderId="1" applyAlignment="1" pivotButton="0" quotePrefix="0" xfId="0">
      <alignment horizontal="center"/>
    </xf>
    <xf numFmtId="0" fontId="10" fillId="4" borderId="1" applyAlignment="1" pivotButton="0" quotePrefix="0" xfId="0">
      <alignment horizontal="center"/>
    </xf>
    <xf numFmtId="4" fontId="8" fillId="4" borderId="1" applyAlignment="1" pivotButton="0" quotePrefix="0" xfId="0">
      <alignment horizontal="center"/>
    </xf>
    <xf numFmtId="165" fontId="8" fillId="4" borderId="1" applyAlignment="1" pivotButton="0" quotePrefix="0" xfId="0">
      <alignment horizontal="center"/>
    </xf>
    <xf numFmtId="0" fontId="7" fillId="2" borderId="1" applyAlignment="1" pivotButton="0" quotePrefix="0" xfId="0">
      <alignment horizontal="center"/>
    </xf>
    <xf numFmtId="0" fontId="8" fillId="0" borderId="0" pivotButton="0" quotePrefix="0" xfId="0"/>
    <xf numFmtId="0" fontId="11" fillId="0" borderId="0" pivotButton="0" quotePrefix="0" xfId="0"/>
    <xf numFmtId="4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8" fillId="5" borderId="1" applyAlignment="1" pivotButton="0" quotePrefix="0" xfId="0">
      <alignment horizontal="center"/>
    </xf>
    <xf numFmtId="4" fontId="8" fillId="5" borderId="1" applyAlignment="1" pivotButton="0" quotePrefix="0" xfId="0">
      <alignment horizontal="center"/>
    </xf>
    <xf numFmtId="165" fontId="8" fillId="5" borderId="1" applyAlignment="1" pivotButton="0" quotePrefix="0" xfId="0">
      <alignment horizontal="center"/>
    </xf>
    <xf numFmtId="164" fontId="12" fillId="5" borderId="1" applyAlignment="1" pivotButton="0" quotePrefix="0" xfId="0">
      <alignment horizontal="center"/>
    </xf>
    <xf numFmtId="10" fontId="12" fillId="5" borderId="1" applyAlignment="1" pivotButton="0" quotePrefix="0" xfId="0">
      <alignment horizontal="center"/>
    </xf>
    <xf numFmtId="0" fontId="8" fillId="0" borderId="1" applyAlignment="1" pivotButton="0" quotePrefix="0" xfId="0">
      <alignment horizontal="center"/>
    </xf>
    <xf numFmtId="4" fontId="8" fillId="0" borderId="1" applyAlignment="1" pivotButton="0" quotePrefix="0" xfId="0">
      <alignment horizontal="center"/>
    </xf>
    <xf numFmtId="165" fontId="8" fillId="0" borderId="1" applyAlignment="1" pivotButton="0" quotePrefix="0" xfId="0">
      <alignment horizontal="center"/>
    </xf>
    <xf numFmtId="164" fontId="12" fillId="0" borderId="1" applyAlignment="1" pivotButton="0" quotePrefix="0" xfId="0">
      <alignment horizontal="center"/>
    </xf>
    <xf numFmtId="10" fontId="12" fillId="0" borderId="1" applyAlignment="1" pivotButton="0" quotePrefix="0" xfId="0">
      <alignment horizontal="center"/>
    </xf>
    <xf numFmtId="164" fontId="13" fillId="5" borderId="1" applyAlignment="1" pivotButton="0" quotePrefix="0" xfId="0">
      <alignment horizontal="center"/>
    </xf>
    <xf numFmtId="10" fontId="13" fillId="5" borderId="1" applyAlignment="1" pivotButton="0" quotePrefix="0" xfId="0">
      <alignment horizontal="center"/>
    </xf>
    <xf numFmtId="164" fontId="13" fillId="0" borderId="1" applyAlignment="1" pivotButton="0" quotePrefix="0" xfId="0">
      <alignment horizontal="center"/>
    </xf>
    <xf numFmtId="10" fontId="13" fillId="0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Portfolio Value Over Trades</a:t>
            </a:r>
          </a:p>
        </rich>
      </tx>
    </title>
    <plotArea>
      <lineChart>
        <grouping val="standard"/>
        <ser>
          <idx val="0"/>
          <order val="0"/>
          <tx>
            <strRef>
              <f>'Portfolio Value'!D1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'Portfolio Value'!$A$2:$A$17</f>
            </numRef>
          </cat>
          <val>
            <numRef>
              <f>'Portfolio Value'!$D$2:$D$17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Trade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Daily Portfolio Value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Performance'!G1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'Daily Performance'!$B$2:$B$142</f>
            </numRef>
          </cat>
          <val>
            <numRef>
              <f>'Daily Performance'!$G$2:$G$142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Cumulative Return (%)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Performance'!I1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'Daily Performance'!$B$2:$B$142</f>
            </numRef>
          </cat>
          <val>
            <numRef>
              <f>'Daily Performance'!$I$2:$I$142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%</a:t>
                </a:r>
              </a:p>
            </rich>
          </tx>
        </title>
        <numFmt formatCode="0.0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Relationship Type="http://schemas.openxmlformats.org/officeDocument/2006/relationships/chart" Target="/xl/charts/chart3.xml" Id="rId2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792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14</col>
      <colOff>0</colOff>
      <row>1</row>
      <rowOff>0</rowOff>
    </from>
    <ext cx="1008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14</col>
      <colOff>0</colOff>
      <row>17</row>
      <rowOff>0</rowOff>
    </from>
    <ext cx="10080000" cy="504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sheet1.xml><?xml version="1.0" encoding="utf-8"?>
<worksheet xmlns="http://schemas.openxmlformats.org/spreadsheetml/2006/main">
  <sheetPr>
    <tabColor rgb="00FFD700"/>
    <outlinePr summaryBelow="1" summaryRight="1"/>
    <pageSetUpPr/>
  </sheetPr>
  <dimension ref="B2:C14"/>
  <sheetViews>
    <sheetView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22" customWidth="1" min="3" max="3"/>
  </cols>
  <sheetData>
    <row r="2">
      <c r="B2" s="1" t="inlineStr">
        <is>
          <t>Gold Forward Test Report</t>
        </is>
      </c>
    </row>
    <row r="3">
      <c r="B3" s="2" t="inlineStr">
        <is>
          <t>Period: 2026-04-18 → 2026-05-15</t>
        </is>
      </c>
    </row>
    <row r="5">
      <c r="B5" s="3" t="inlineStr">
        <is>
          <t>Initial Capital</t>
        </is>
      </c>
      <c r="C5" s="4" t="n">
        <v>500000</v>
      </c>
    </row>
    <row r="6">
      <c r="B6" s="3" t="inlineStr">
        <is>
          <t>Current Cash</t>
        </is>
      </c>
      <c r="C6" s="4" t="n">
        <v>0</v>
      </c>
    </row>
    <row r="7">
      <c r="B7" s="3" t="inlineStr">
        <is>
          <t>Gold Holdings (baht-weight)</t>
        </is>
      </c>
      <c r="C7" s="5" t="n">
        <v>6.85891643716372</v>
      </c>
    </row>
    <row r="8">
      <c r="B8" s="3" t="inlineStr">
        <is>
          <t>Last Price (THB/baht-wt)</t>
        </is>
      </c>
      <c r="C8" s="4" t="n">
        <v>71359.69969384704</v>
      </c>
    </row>
    <row r="10">
      <c r="B10" s="6" t="inlineStr">
        <is>
          <t>Portfolio Value</t>
        </is>
      </c>
      <c r="C10" s="7">
        <f>C6+C7*C8</f>
        <v/>
      </c>
    </row>
    <row r="11">
      <c r="B11" s="8" t="inlineStr">
        <is>
          <t>P&amp;L (THB)</t>
        </is>
      </c>
      <c r="C11" s="9">
        <f>C10-C5</f>
        <v/>
      </c>
    </row>
    <row r="12">
      <c r="B12" s="8" t="inlineStr">
        <is>
          <t>Return (%)</t>
        </is>
      </c>
      <c r="C12" s="10">
        <f>IF(C5=0,0,(C10-C5)/C5)</f>
        <v/>
      </c>
    </row>
    <row r="13">
      <c r="B13" s="3" t="inlineStr">
        <is>
          <t>Total Trades</t>
        </is>
      </c>
      <c r="C13" s="5" t="n">
        <v>15</v>
      </c>
    </row>
    <row r="14">
      <c r="B14" s="8" t="inlineStr">
        <is>
          <t>Current Position</t>
        </is>
      </c>
      <c r="C14" s="11" t="inlineStr">
        <is>
          <t>CASH</t>
        </is>
      </c>
    </row>
  </sheetData>
  <mergeCells count="2">
    <mergeCell ref="B3:C3"/>
    <mergeCell ref="B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C3E50"/>
    <outlinePr summaryBelow="1" summaryRight="1"/>
    <pageSetUpPr/>
  </sheetPr>
  <dimension ref="A1:J16"/>
  <sheetViews>
    <sheetView workbookViewId="0">
      <selection activeCell="A1" sqref="A1"/>
    </sheetView>
  </sheetViews>
  <sheetFormatPr baseColWidth="8" defaultRowHeight="15"/>
  <cols>
    <col width="6" customWidth="1" min="1" max="1"/>
    <col width="20" customWidth="1" min="2" max="2"/>
    <col width="10" customWidth="1" min="3" max="3"/>
    <col width="18" customWidth="1" min="4" max="4"/>
    <col width="16" customWidth="1" min="5" max="5"/>
    <col width="18" customWidth="1" min="6" max="6"/>
    <col width="18" customWidth="1" min="7" max="7"/>
    <col width="18" customWidth="1" min="8" max="8"/>
    <col width="16" customWidth="1" min="9" max="9"/>
    <col width="16" customWidth="1" min="10" max="10"/>
  </cols>
  <sheetData>
    <row r="1">
      <c r="A1" s="12" t="inlineStr">
        <is>
          <t>No.</t>
        </is>
      </c>
      <c r="B1" s="12" t="inlineStr">
        <is>
          <t>Date/Time</t>
        </is>
      </c>
      <c r="C1" s="12" t="inlineStr">
        <is>
          <t>Action</t>
        </is>
      </c>
      <c r="D1" s="12" t="inlineStr">
        <is>
          <t>Price (THB)</t>
        </is>
      </c>
      <c r="E1" s="12" t="inlineStr">
        <is>
          <t>Units (baht-wt)</t>
        </is>
      </c>
      <c r="F1" s="12" t="inlineStr">
        <is>
          <t>Trade Value (THB)</t>
        </is>
      </c>
      <c r="G1" s="12" t="inlineStr">
        <is>
          <t>Cash Before</t>
        </is>
      </c>
      <c r="H1" s="12" t="inlineStr">
        <is>
          <t>Cash After</t>
        </is>
      </c>
      <c r="I1" s="12" t="inlineStr">
        <is>
          <t>Gold Before</t>
        </is>
      </c>
      <c r="J1" s="12" t="inlineStr">
        <is>
          <t>Gold After</t>
        </is>
      </c>
    </row>
    <row r="2">
      <c r="A2" s="13" t="n">
        <v>1</v>
      </c>
      <c r="B2" s="13" t="inlineStr">
        <is>
          <t>2026-04-18 21:40</t>
        </is>
      </c>
      <c r="C2" s="14" t="inlineStr">
        <is>
          <t>BUY</t>
        </is>
      </c>
      <c r="D2" s="15" t="n">
        <v>73596.25999999999</v>
      </c>
      <c r="E2" s="16" t="n">
        <v>1</v>
      </c>
      <c r="F2" s="15" t="n">
        <v>73596.25999999999</v>
      </c>
      <c r="G2" s="15" t="n">
        <v>500000</v>
      </c>
      <c r="H2" s="15" t="n">
        <v>426403.74</v>
      </c>
      <c r="I2" s="16" t="n">
        <v>0</v>
      </c>
      <c r="J2" s="16" t="n">
        <v>1</v>
      </c>
    </row>
    <row r="3">
      <c r="A3" s="13" t="n">
        <v>2</v>
      </c>
      <c r="B3" s="13" t="inlineStr">
        <is>
          <t>2026-04-19 23:58</t>
        </is>
      </c>
      <c r="C3" s="14" t="inlineStr">
        <is>
          <t>BUY</t>
        </is>
      </c>
      <c r="D3" s="15" t="n">
        <v>73596.25999999999</v>
      </c>
      <c r="E3" s="16" t="n">
        <v>1</v>
      </c>
      <c r="F3" s="15" t="n">
        <v>73596.25999999999</v>
      </c>
      <c r="G3" s="15" t="n">
        <v>426403.74</v>
      </c>
      <c r="H3" s="15" t="n">
        <v>352807.48</v>
      </c>
      <c r="I3" s="16" t="n">
        <v>1</v>
      </c>
      <c r="J3" s="16" t="n">
        <v>2</v>
      </c>
    </row>
    <row r="4">
      <c r="A4" s="13" t="n">
        <v>3</v>
      </c>
      <c r="B4" s="13" t="inlineStr">
        <is>
          <t>2026-04-20 00:55</t>
        </is>
      </c>
      <c r="C4" s="14" t="inlineStr">
        <is>
          <t>BUY</t>
        </is>
      </c>
      <c r="D4" s="15" t="n">
        <v>73596.25999999999</v>
      </c>
      <c r="E4" s="16" t="n">
        <v>1</v>
      </c>
      <c r="F4" s="15" t="n">
        <v>73596.25999999999</v>
      </c>
      <c r="G4" s="15" t="n">
        <v>352807.48</v>
      </c>
      <c r="H4" s="15" t="n">
        <v>279211.23</v>
      </c>
      <c r="I4" s="16" t="n">
        <v>2</v>
      </c>
      <c r="J4" s="16" t="n">
        <v>3</v>
      </c>
    </row>
    <row r="5">
      <c r="A5" s="13" t="n">
        <v>4</v>
      </c>
      <c r="B5" s="13" t="inlineStr">
        <is>
          <t>2026-04-20 04:52</t>
        </is>
      </c>
      <c r="C5" s="14" t="inlineStr">
        <is>
          <t>BUY</t>
        </is>
      </c>
      <c r="D5" s="15" t="n">
        <v>73596.25999999999</v>
      </c>
      <c r="E5" s="16" t="n">
        <v>1</v>
      </c>
      <c r="F5" s="15" t="n">
        <v>73596.25999999999</v>
      </c>
      <c r="G5" s="15" t="n">
        <v>279211.23</v>
      </c>
      <c r="H5" s="15" t="n">
        <v>205614.97</v>
      </c>
      <c r="I5" s="16" t="n">
        <v>3</v>
      </c>
      <c r="J5" s="16" t="n">
        <v>4</v>
      </c>
    </row>
    <row r="6">
      <c r="A6" s="17" t="n">
        <v>5</v>
      </c>
      <c r="B6" s="17" t="inlineStr">
        <is>
          <t>2026-04-20 18:58</t>
        </is>
      </c>
      <c r="C6" s="18" t="inlineStr">
        <is>
          <t>SELL</t>
        </is>
      </c>
      <c r="D6" s="19" t="n">
        <v>72930.21000000001</v>
      </c>
      <c r="E6" s="20" t="n">
        <v>1</v>
      </c>
      <c r="F6" s="19" t="n">
        <v>72930.21000000001</v>
      </c>
      <c r="G6" s="19" t="n">
        <v>205614.97</v>
      </c>
      <c r="H6" s="19" t="n">
        <v>278545.17</v>
      </c>
      <c r="I6" s="20" t="n">
        <v>4</v>
      </c>
      <c r="J6" s="20" t="n">
        <v>3</v>
      </c>
    </row>
    <row r="7">
      <c r="A7" s="17" t="n">
        <v>6</v>
      </c>
      <c r="B7" s="17" t="inlineStr">
        <is>
          <t>2026-04-20 22:59</t>
        </is>
      </c>
      <c r="C7" s="18" t="inlineStr">
        <is>
          <t>SELL</t>
        </is>
      </c>
      <c r="D7" s="19" t="n">
        <v>72949.62</v>
      </c>
      <c r="E7" s="20" t="n">
        <v>1</v>
      </c>
      <c r="F7" s="19" t="n">
        <v>72949.62</v>
      </c>
      <c r="G7" s="19" t="n">
        <v>278545.17</v>
      </c>
      <c r="H7" s="19" t="n">
        <v>351494.79</v>
      </c>
      <c r="I7" s="20" t="n">
        <v>3</v>
      </c>
      <c r="J7" s="20" t="n">
        <v>2</v>
      </c>
    </row>
    <row r="8">
      <c r="A8" s="17" t="n">
        <v>7</v>
      </c>
      <c r="B8" s="17" t="inlineStr">
        <is>
          <t>2026-04-21 18:44</t>
        </is>
      </c>
      <c r="C8" s="18" t="inlineStr">
        <is>
          <t>SELL</t>
        </is>
      </c>
      <c r="D8" s="19" t="n">
        <v>72793.78999999999</v>
      </c>
      <c r="E8" s="20" t="n">
        <v>1</v>
      </c>
      <c r="F8" s="19" t="n">
        <v>72793.78999999999</v>
      </c>
      <c r="G8" s="19" t="n">
        <v>351494.79</v>
      </c>
      <c r="H8" s="19" t="n">
        <v>424288.59</v>
      </c>
      <c r="I8" s="20" t="n">
        <v>2</v>
      </c>
      <c r="J8" s="20" t="n">
        <v>1</v>
      </c>
    </row>
    <row r="9">
      <c r="A9" s="17" t="n">
        <v>8</v>
      </c>
      <c r="B9" s="17" t="inlineStr">
        <is>
          <t>2026-04-21 23:00</t>
        </is>
      </c>
      <c r="C9" s="18" t="inlineStr">
        <is>
          <t>SELL</t>
        </is>
      </c>
      <c r="D9" s="19" t="n">
        <v>72432.17999999999</v>
      </c>
      <c r="E9" s="20" t="n">
        <v>1</v>
      </c>
      <c r="F9" s="19" t="n">
        <v>72432.17999999999</v>
      </c>
      <c r="G9" s="19" t="n">
        <v>424288.59</v>
      </c>
      <c r="H9" s="19" t="n">
        <v>496720.77</v>
      </c>
      <c r="I9" s="20" t="n">
        <v>1</v>
      </c>
      <c r="J9" s="20" t="n">
        <v>0</v>
      </c>
    </row>
    <row r="10">
      <c r="A10" s="13" t="n">
        <v>9</v>
      </c>
      <c r="B10" s="13" t="inlineStr">
        <is>
          <t>2026-04-22 18:42</t>
        </is>
      </c>
      <c r="C10" s="14" t="inlineStr">
        <is>
          <t>BUY</t>
        </is>
      </c>
      <c r="D10" s="15" t="n">
        <v>72743.33</v>
      </c>
      <c r="E10" s="16" t="n">
        <v>1</v>
      </c>
      <c r="F10" s="15" t="n">
        <v>72743.33</v>
      </c>
      <c r="G10" s="15" t="n">
        <v>496720.77</v>
      </c>
      <c r="H10" s="15" t="n">
        <v>423977.43</v>
      </c>
      <c r="I10" s="16" t="n">
        <v>0</v>
      </c>
      <c r="J10" s="16" t="n">
        <v>1</v>
      </c>
    </row>
    <row r="11">
      <c r="A11" s="13" t="n">
        <v>10</v>
      </c>
      <c r="B11" s="13" t="inlineStr">
        <is>
          <t>2026-04-22 22:58</t>
        </is>
      </c>
      <c r="C11" s="14" t="inlineStr">
        <is>
          <t>BUY</t>
        </is>
      </c>
      <c r="D11" s="15" t="n">
        <v>72379.47</v>
      </c>
      <c r="E11" s="16" t="n">
        <v>1</v>
      </c>
      <c r="F11" s="15" t="n">
        <v>72379.47</v>
      </c>
      <c r="G11" s="15" t="n">
        <v>423977.43</v>
      </c>
      <c r="H11" s="15" t="n">
        <v>351597.96</v>
      </c>
      <c r="I11" s="16" t="n">
        <v>1</v>
      </c>
      <c r="J11" s="16" t="n">
        <v>2</v>
      </c>
    </row>
    <row r="12">
      <c r="A12" s="13" t="n">
        <v>11</v>
      </c>
      <c r="B12" s="13" t="inlineStr">
        <is>
          <t>2026-04-23 02:56</t>
        </is>
      </c>
      <c r="C12" s="14" t="inlineStr">
        <is>
          <t>BUY</t>
        </is>
      </c>
      <c r="D12" s="15" t="n">
        <v>72545.27</v>
      </c>
      <c r="E12" s="16" t="n">
        <v>1</v>
      </c>
      <c r="F12" s="15" t="n">
        <v>72545.27</v>
      </c>
      <c r="G12" s="15" t="n">
        <v>351597.96</v>
      </c>
      <c r="H12" s="15" t="n">
        <v>279052.69</v>
      </c>
      <c r="I12" s="16" t="n">
        <v>2</v>
      </c>
      <c r="J12" s="16" t="n">
        <v>3</v>
      </c>
    </row>
    <row r="13">
      <c r="A13" s="13" t="n">
        <v>12</v>
      </c>
      <c r="B13" s="13" t="inlineStr">
        <is>
          <t>2026-04-24 00:03</t>
        </is>
      </c>
      <c r="C13" s="14" t="inlineStr">
        <is>
          <t>BUY</t>
        </is>
      </c>
      <c r="D13" s="15" t="n">
        <v>72612.62</v>
      </c>
      <c r="E13" s="16" t="n">
        <v>1</v>
      </c>
      <c r="F13" s="15" t="n">
        <v>72612.62</v>
      </c>
      <c r="G13" s="15" t="n">
        <v>279052.69</v>
      </c>
      <c r="H13" s="15" t="n">
        <v>206440.07</v>
      </c>
      <c r="I13" s="16" t="n">
        <v>3</v>
      </c>
      <c r="J13" s="16" t="n">
        <v>4</v>
      </c>
    </row>
    <row r="14">
      <c r="A14" s="13" t="n">
        <v>13</v>
      </c>
      <c r="B14" s="13" t="inlineStr">
        <is>
          <t>2026-04-25 04:35</t>
        </is>
      </c>
      <c r="C14" s="14" t="inlineStr">
        <is>
          <t>BUY</t>
        </is>
      </c>
      <c r="D14" s="15" t="n">
        <v>72209.2</v>
      </c>
      <c r="E14" s="16" t="n">
        <v>1</v>
      </c>
      <c r="F14" s="15" t="n">
        <v>72209.2</v>
      </c>
      <c r="G14" s="15" t="n">
        <v>206440.07</v>
      </c>
      <c r="H14" s="15" t="n">
        <v>134230.87</v>
      </c>
      <c r="I14" s="16" t="n">
        <v>4</v>
      </c>
      <c r="J14" s="16" t="n">
        <v>5</v>
      </c>
    </row>
    <row r="15">
      <c r="A15" s="13" t="n">
        <v>14</v>
      </c>
      <c r="B15" s="13" t="inlineStr">
        <is>
          <t>2026-04-25 06:58</t>
        </is>
      </c>
      <c r="C15" s="14" t="inlineStr">
        <is>
          <t>BUY</t>
        </is>
      </c>
      <c r="D15" s="15" t="n">
        <v>72209.2</v>
      </c>
      <c r="E15" s="16" t="n">
        <v>1</v>
      </c>
      <c r="F15" s="15" t="n">
        <v>72209.2</v>
      </c>
      <c r="G15" s="15" t="n">
        <v>134230.87</v>
      </c>
      <c r="H15" s="15" t="n">
        <v>62021.67</v>
      </c>
      <c r="I15" s="16" t="n">
        <v>5</v>
      </c>
      <c r="J15" s="16" t="n">
        <v>6</v>
      </c>
    </row>
    <row r="16">
      <c r="A16" s="13" t="n">
        <v>15</v>
      </c>
      <c r="B16" s="13" t="inlineStr">
        <is>
          <t>2026-04-25 13:08</t>
        </is>
      </c>
      <c r="C16" s="14" t="inlineStr">
        <is>
          <t>BUY</t>
        </is>
      </c>
      <c r="D16" s="15" t="n">
        <v>72209.2</v>
      </c>
      <c r="E16" s="16" t="n">
        <v>0.858916</v>
      </c>
      <c r="F16" s="15" t="n">
        <v>62021.67</v>
      </c>
      <c r="G16" s="15" t="n">
        <v>62021.67</v>
      </c>
      <c r="H16" s="15" t="n">
        <v>0</v>
      </c>
      <c r="I16" s="16" t="n">
        <v>6</v>
      </c>
      <c r="J16" s="16" t="n">
        <v>6.858916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7AE60"/>
    <outlinePr summaryBelow="1" summaryRight="1"/>
    <pageSetUpPr/>
  </sheetPr>
  <dimension ref="A1:D17"/>
  <sheetViews>
    <sheetView workbookViewId="0">
      <selection activeCell="A1" sqref="A1"/>
    </sheetView>
  </sheetViews>
  <sheetFormatPr baseColWidth="8" defaultRowHeight="15"/>
  <cols>
    <col width="12" customWidth="1" min="1" max="1"/>
    <col width="20" customWidth="1" min="2" max="2"/>
    <col width="10" customWidth="1" min="3" max="3"/>
    <col width="22" customWidth="1" min="4" max="4"/>
  </cols>
  <sheetData>
    <row r="1">
      <c r="A1" s="21" t="inlineStr">
        <is>
          <t>Trade No.</t>
        </is>
      </c>
      <c r="B1" s="21" t="inlineStr">
        <is>
          <t>Date</t>
        </is>
      </c>
      <c r="C1" s="21" t="inlineStr">
        <is>
          <t>Action</t>
        </is>
      </c>
      <c r="D1" s="21" t="inlineStr">
        <is>
          <t>Portfolio Value (THB)</t>
        </is>
      </c>
    </row>
    <row r="2">
      <c r="A2" s="22" t="n">
        <v>0</v>
      </c>
      <c r="B2" s="22" t="inlineStr">
        <is>
          <t>2026-04-18</t>
        </is>
      </c>
      <c r="C2" s="23" t="inlineStr">
        <is>
          <t>START</t>
        </is>
      </c>
      <c r="D2" s="24" t="n">
        <v>500000</v>
      </c>
    </row>
    <row r="3">
      <c r="A3" s="22" t="n">
        <v>1</v>
      </c>
      <c r="B3" s="22" t="inlineStr">
        <is>
          <t>2026-04-18</t>
        </is>
      </c>
      <c r="C3" s="25" t="inlineStr">
        <is>
          <t>BUY</t>
        </is>
      </c>
      <c r="D3" s="24" t="n">
        <v>73596.25999999999</v>
      </c>
    </row>
    <row r="4">
      <c r="A4" s="22" t="n">
        <v>2</v>
      </c>
      <c r="B4" s="22" t="inlineStr">
        <is>
          <t>2026-04-19</t>
        </is>
      </c>
      <c r="C4" s="25" t="inlineStr">
        <is>
          <t>BUY</t>
        </is>
      </c>
      <c r="D4" s="24" t="n">
        <v>147192.52</v>
      </c>
    </row>
    <row r="5">
      <c r="A5" s="22" t="n">
        <v>3</v>
      </c>
      <c r="B5" s="22" t="inlineStr">
        <is>
          <t>2026-04-20</t>
        </is>
      </c>
      <c r="C5" s="25" t="inlineStr">
        <is>
          <t>BUY</t>
        </is>
      </c>
      <c r="D5" s="24" t="n">
        <v>220788.78</v>
      </c>
    </row>
    <row r="6">
      <c r="A6" s="22" t="n">
        <v>4</v>
      </c>
      <c r="B6" s="22" t="inlineStr">
        <is>
          <t>2026-04-20</t>
        </is>
      </c>
      <c r="C6" s="25" t="inlineStr">
        <is>
          <t>BUY</t>
        </is>
      </c>
      <c r="D6" s="24" t="n">
        <v>294385.04</v>
      </c>
    </row>
    <row r="7">
      <c r="A7" s="22" t="n">
        <v>5</v>
      </c>
      <c r="B7" s="22" t="inlineStr">
        <is>
          <t>2026-04-20</t>
        </is>
      </c>
      <c r="C7" s="26" t="inlineStr">
        <is>
          <t>SELL</t>
        </is>
      </c>
      <c r="D7" s="24" t="n">
        <v>278545.17</v>
      </c>
    </row>
    <row r="8">
      <c r="A8" s="22" t="n">
        <v>6</v>
      </c>
      <c r="B8" s="22" t="inlineStr">
        <is>
          <t>2026-04-20</t>
        </is>
      </c>
      <c r="C8" s="26" t="inlineStr">
        <is>
          <t>SELL</t>
        </is>
      </c>
      <c r="D8" s="24" t="n">
        <v>351494.79</v>
      </c>
    </row>
    <row r="9">
      <c r="A9" s="22" t="n">
        <v>7</v>
      </c>
      <c r="B9" s="22" t="inlineStr">
        <is>
          <t>2026-04-21</t>
        </is>
      </c>
      <c r="C9" s="26" t="inlineStr">
        <is>
          <t>SELL</t>
        </is>
      </c>
      <c r="D9" s="24" t="n">
        <v>424288.59</v>
      </c>
    </row>
    <row r="10">
      <c r="A10" s="22" t="n">
        <v>8</v>
      </c>
      <c r="B10" s="22" t="inlineStr">
        <is>
          <t>2026-04-21</t>
        </is>
      </c>
      <c r="C10" s="26" t="inlineStr">
        <is>
          <t>SELL</t>
        </is>
      </c>
      <c r="D10" s="24" t="n">
        <v>496720.77</v>
      </c>
    </row>
    <row r="11">
      <c r="A11" s="22" t="n">
        <v>9</v>
      </c>
      <c r="B11" s="22" t="inlineStr">
        <is>
          <t>2026-04-22</t>
        </is>
      </c>
      <c r="C11" s="25" t="inlineStr">
        <is>
          <t>BUY</t>
        </is>
      </c>
      <c r="D11" s="24" t="n">
        <v>72743.33</v>
      </c>
    </row>
    <row r="12">
      <c r="A12" s="22" t="n">
        <v>10</v>
      </c>
      <c r="B12" s="22" t="inlineStr">
        <is>
          <t>2026-04-22</t>
        </is>
      </c>
      <c r="C12" s="25" t="inlineStr">
        <is>
          <t>BUY</t>
        </is>
      </c>
      <c r="D12" s="24" t="n">
        <v>144758.94</v>
      </c>
    </row>
    <row r="13">
      <c r="A13" s="22" t="n">
        <v>11</v>
      </c>
      <c r="B13" s="22" t="inlineStr">
        <is>
          <t>2026-04-23</t>
        </is>
      </c>
      <c r="C13" s="25" t="inlineStr">
        <is>
          <t>BUY</t>
        </is>
      </c>
      <c r="D13" s="24" t="n">
        <v>217635.81</v>
      </c>
    </row>
    <row r="14">
      <c r="A14" s="22" t="n">
        <v>12</v>
      </c>
      <c r="B14" s="22" t="inlineStr">
        <is>
          <t>2026-04-24</t>
        </is>
      </c>
      <c r="C14" s="25" t="inlineStr">
        <is>
          <t>BUY</t>
        </is>
      </c>
      <c r="D14" s="24" t="n">
        <v>290450.48</v>
      </c>
    </row>
    <row r="15">
      <c r="A15" s="22" t="n">
        <v>13</v>
      </c>
      <c r="B15" s="22" t="inlineStr">
        <is>
          <t>2026-04-25</t>
        </is>
      </c>
      <c r="C15" s="25" t="inlineStr">
        <is>
          <t>BUY</t>
        </is>
      </c>
      <c r="D15" s="24" t="n">
        <v>361046</v>
      </c>
    </row>
    <row r="16">
      <c r="A16" s="22" t="n">
        <v>14</v>
      </c>
      <c r="B16" s="22" t="inlineStr">
        <is>
          <t>2026-04-25</t>
        </is>
      </c>
      <c r="C16" s="25" t="inlineStr">
        <is>
          <t>BUY</t>
        </is>
      </c>
      <c r="D16" s="24" t="n">
        <v>433255.2</v>
      </c>
    </row>
    <row r="17">
      <c r="A17" s="22" t="n">
        <v>15</v>
      </c>
      <c r="B17" s="22" t="inlineStr">
        <is>
          <t>2026-04-25</t>
        </is>
      </c>
      <c r="C17" s="25" t="inlineStr">
        <is>
          <t>BUY</t>
        </is>
      </c>
      <c r="D17" s="24" t="n">
        <v>495276.84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003498DB"/>
    <outlinePr summaryBelow="1" summaryRight="1"/>
    <pageSetUpPr/>
  </sheetPr>
  <dimension ref="A1:M142"/>
  <sheetViews>
    <sheetView workbookViewId="0">
      <selection activeCell="A1" sqref="A1"/>
    </sheetView>
  </sheetViews>
  <sheetFormatPr baseColWidth="8" defaultRowHeight="15"/>
  <cols>
    <col width="6" customWidth="1" min="1" max="1"/>
    <col width="14" customWidth="1" min="2" max="2"/>
    <col width="16" customWidth="1" min="3" max="3"/>
    <col width="18" customWidth="1" min="4" max="4"/>
    <col width="14" customWidth="1" min="5" max="5"/>
    <col width="18" customWidth="1" min="6" max="6"/>
    <col width="20" customWidth="1" min="7" max="7"/>
    <col width="18" customWidth="1" min="8" max="8"/>
    <col width="10" customWidth="1" min="9" max="9"/>
    <col width="10" customWidth="1" min="10" max="10"/>
    <col width="8" customWidth="1" min="11" max="11"/>
    <col width="8" customWidth="1" min="12" max="12"/>
    <col width="12" customWidth="1" min="13" max="13"/>
  </cols>
  <sheetData>
    <row r="1">
      <c r="A1" s="12" t="inlineStr">
        <is>
          <t>Day</t>
        </is>
      </c>
      <c r="B1" s="12" t="inlineStr">
        <is>
          <t>Date</t>
        </is>
      </c>
      <c r="C1" s="12" t="inlineStr">
        <is>
          <t>Gold Price</t>
        </is>
      </c>
      <c r="D1" s="12" t="inlineStr">
        <is>
          <t>Cash (THB)</t>
        </is>
      </c>
      <c r="E1" s="12" t="inlineStr">
        <is>
          <t>Gold (baht-wt)</t>
        </is>
      </c>
      <c r="F1" s="12" t="inlineStr">
        <is>
          <t>Gold Value (THB)</t>
        </is>
      </c>
      <c r="G1" s="12" t="inlineStr">
        <is>
          <t>Portfolio Value (THB)</t>
        </is>
      </c>
      <c r="H1" s="12" t="inlineStr">
        <is>
          <t>P&amp;L (THB)</t>
        </is>
      </c>
      <c r="I1" s="12" t="inlineStr">
        <is>
          <t>P&amp;L (%)</t>
        </is>
      </c>
      <c r="J1" s="12" t="inlineStr">
        <is>
          <t>Signal</t>
        </is>
      </c>
      <c r="K1" s="12" t="inlineStr">
        <is>
          <t>Buys</t>
        </is>
      </c>
      <c r="L1" s="12" t="inlineStr">
        <is>
          <t>Sells</t>
        </is>
      </c>
      <c r="M1" s="12" t="inlineStr">
        <is>
          <t>Total Trades</t>
        </is>
      </c>
    </row>
    <row r="2">
      <c r="A2" s="27" t="n">
        <v>1</v>
      </c>
      <c r="B2" s="27" t="inlineStr">
        <is>
          <t>2026-04-18</t>
        </is>
      </c>
      <c r="C2" s="28" t="n">
        <v>73596.25999999999</v>
      </c>
      <c r="D2" s="28" t="n">
        <v>426403.74</v>
      </c>
      <c r="E2" s="29" t="n">
        <v>1</v>
      </c>
      <c r="F2" s="28" t="n">
        <v>73596.25999999999</v>
      </c>
      <c r="G2" s="28" t="n">
        <v>500000</v>
      </c>
      <c r="H2" s="30" t="n">
        <v>0</v>
      </c>
      <c r="I2" s="31" t="n">
        <v>0</v>
      </c>
      <c r="J2" s="27" t="inlineStr">
        <is>
          <t>-</t>
        </is>
      </c>
      <c r="K2" s="27" t="n">
        <v>1</v>
      </c>
      <c r="L2" s="27" t="n">
        <v>0</v>
      </c>
      <c r="M2" s="27" t="n">
        <v>1</v>
      </c>
    </row>
    <row r="3">
      <c r="A3" s="32" t="n">
        <v>2</v>
      </c>
      <c r="B3" s="32" t="inlineStr">
        <is>
          <t>2026-04-19</t>
        </is>
      </c>
      <c r="C3" s="33" t="n">
        <v>73596.25999999999</v>
      </c>
      <c r="D3" s="33" t="n">
        <v>352807.48</v>
      </c>
      <c r="E3" s="34" t="n">
        <v>2</v>
      </c>
      <c r="F3" s="33" t="n">
        <v>147192.52</v>
      </c>
      <c r="G3" s="33" t="n">
        <v>500000</v>
      </c>
      <c r="H3" s="35" t="n">
        <v>0</v>
      </c>
      <c r="I3" s="36" t="n">
        <v>0</v>
      </c>
      <c r="J3" s="32" t="inlineStr">
        <is>
          <t>-</t>
        </is>
      </c>
      <c r="K3" s="32" t="n">
        <v>1</v>
      </c>
      <c r="L3" s="32" t="n">
        <v>0</v>
      </c>
      <c r="M3" s="32" t="n">
        <v>2</v>
      </c>
    </row>
    <row r="4">
      <c r="A4" s="27" t="n">
        <v>3</v>
      </c>
      <c r="B4" s="27" t="inlineStr">
        <is>
          <t>2026-04-20</t>
        </is>
      </c>
      <c r="C4" s="28" t="n">
        <v>72949.62</v>
      </c>
      <c r="D4" s="28" t="n">
        <v>351494.79</v>
      </c>
      <c r="E4" s="29" t="n">
        <v>2</v>
      </c>
      <c r="F4" s="28" t="n">
        <v>145899.24</v>
      </c>
      <c r="G4" s="28" t="n">
        <v>497394.03</v>
      </c>
      <c r="H4" s="37" t="n">
        <v>-2605.97</v>
      </c>
      <c r="I4" s="38" t="n">
        <v>-0.0052</v>
      </c>
      <c r="J4" s="27" t="inlineStr">
        <is>
          <t>-</t>
        </is>
      </c>
      <c r="K4" s="27" t="n">
        <v>2</v>
      </c>
      <c r="L4" s="27" t="n">
        <v>2</v>
      </c>
      <c r="M4" s="27" t="n">
        <v>6</v>
      </c>
    </row>
    <row r="5">
      <c r="A5" s="32" t="n">
        <v>4</v>
      </c>
      <c r="B5" s="32" t="inlineStr">
        <is>
          <t>2026-04-21</t>
        </is>
      </c>
      <c r="C5" s="33" t="n">
        <v>72432.17999999999</v>
      </c>
      <c r="D5" s="33" t="n">
        <v>496720.76</v>
      </c>
      <c r="E5" s="34" t="n">
        <v>0</v>
      </c>
      <c r="F5" s="33" t="n">
        <v>0</v>
      </c>
      <c r="G5" s="33" t="n">
        <v>496720.76</v>
      </c>
      <c r="H5" s="39" t="n">
        <v>-3279.24</v>
      </c>
      <c r="I5" s="40" t="n">
        <v>-0.0066</v>
      </c>
      <c r="J5" s="32" t="inlineStr">
        <is>
          <t>-</t>
        </is>
      </c>
      <c r="K5" s="32" t="n">
        <v>0</v>
      </c>
      <c r="L5" s="32" t="n">
        <v>2</v>
      </c>
      <c r="M5" s="32" t="n">
        <v>8</v>
      </c>
    </row>
    <row r="6">
      <c r="A6" s="27" t="n">
        <v>5</v>
      </c>
      <c r="B6" s="27" t="inlineStr">
        <is>
          <t>2026-04-22</t>
        </is>
      </c>
      <c r="C6" s="28" t="n">
        <v>72379.47</v>
      </c>
      <c r="D6" s="28" t="n">
        <v>351597.96</v>
      </c>
      <c r="E6" s="29" t="n">
        <v>2</v>
      </c>
      <c r="F6" s="28" t="n">
        <v>144758.94</v>
      </c>
      <c r="G6" s="28" t="n">
        <v>496356.9</v>
      </c>
      <c r="H6" s="37" t="n">
        <v>-3643.1</v>
      </c>
      <c r="I6" s="38" t="n">
        <v>-0.0073</v>
      </c>
      <c r="J6" s="27" t="inlineStr">
        <is>
          <t>-</t>
        </is>
      </c>
      <c r="K6" s="27" t="n">
        <v>2</v>
      </c>
      <c r="L6" s="27" t="n">
        <v>0</v>
      </c>
      <c r="M6" s="27" t="n">
        <v>10</v>
      </c>
    </row>
    <row r="7">
      <c r="A7" s="32" t="n">
        <v>6</v>
      </c>
      <c r="B7" s="32" t="inlineStr">
        <is>
          <t>2026-04-23</t>
        </is>
      </c>
      <c r="C7" s="33" t="n">
        <v>72545.27</v>
      </c>
      <c r="D7" s="33" t="n">
        <v>279052.69</v>
      </c>
      <c r="E7" s="34" t="n">
        <v>3</v>
      </c>
      <c r="F7" s="33" t="n">
        <v>217635.81</v>
      </c>
      <c r="G7" s="33" t="n">
        <v>496688.5</v>
      </c>
      <c r="H7" s="39" t="n">
        <v>-3311.5</v>
      </c>
      <c r="I7" s="40" t="n">
        <v>-0.0066</v>
      </c>
      <c r="J7" s="32" t="inlineStr">
        <is>
          <t>-</t>
        </is>
      </c>
      <c r="K7" s="32" t="n">
        <v>1</v>
      </c>
      <c r="L7" s="32" t="n">
        <v>0</v>
      </c>
      <c r="M7" s="32" t="n">
        <v>11</v>
      </c>
    </row>
    <row r="8">
      <c r="A8" s="27" t="n">
        <v>7</v>
      </c>
      <c r="B8" s="27" t="inlineStr">
        <is>
          <t>2026-04-24</t>
        </is>
      </c>
      <c r="C8" s="28" t="n">
        <v>72612.62</v>
      </c>
      <c r="D8" s="28" t="n">
        <v>206440.07</v>
      </c>
      <c r="E8" s="29" t="n">
        <v>4</v>
      </c>
      <c r="F8" s="28" t="n">
        <v>290450.48</v>
      </c>
      <c r="G8" s="28" t="n">
        <v>496890.55</v>
      </c>
      <c r="H8" s="37" t="n">
        <v>-3109.45</v>
      </c>
      <c r="I8" s="38" t="n">
        <v>-0.0062</v>
      </c>
      <c r="J8" s="27" t="inlineStr">
        <is>
          <t>-</t>
        </is>
      </c>
      <c r="K8" s="27" t="n">
        <v>1</v>
      </c>
      <c r="L8" s="27" t="n">
        <v>0</v>
      </c>
      <c r="M8" s="27" t="n">
        <v>12</v>
      </c>
    </row>
    <row r="9">
      <c r="A9" s="32" t="n">
        <v>8</v>
      </c>
      <c r="B9" s="32" t="inlineStr">
        <is>
          <t>2026-04-25</t>
        </is>
      </c>
      <c r="C9" s="33" t="n">
        <v>72209.2</v>
      </c>
      <c r="D9" s="33" t="n">
        <v>0</v>
      </c>
      <c r="E9" s="34" t="n">
        <v>6.858916</v>
      </c>
      <c r="F9" s="33" t="n">
        <v>495276.87</v>
      </c>
      <c r="G9" s="33" t="n">
        <v>495276.87</v>
      </c>
      <c r="H9" s="39" t="n">
        <v>-4723.13</v>
      </c>
      <c r="I9" s="40" t="n">
        <v>-0.009399999999999999</v>
      </c>
      <c r="J9" s="32" t="inlineStr">
        <is>
          <t>ซื้อ</t>
        </is>
      </c>
      <c r="K9" s="32" t="n">
        <v>3</v>
      </c>
      <c r="L9" s="32" t="n">
        <v>0</v>
      </c>
      <c r="M9" s="32" t="n">
        <v>15</v>
      </c>
    </row>
    <row r="10">
      <c r="A10" s="27" t="n">
        <v>9</v>
      </c>
      <c r="B10" s="27" t="inlineStr">
        <is>
          <t>2026-04-26</t>
        </is>
      </c>
      <c r="C10" s="28" t="n">
        <v>72446.06</v>
      </c>
      <c r="D10" s="28" t="n">
        <v>0</v>
      </c>
      <c r="E10" s="29" t="n">
        <v>6.858916</v>
      </c>
      <c r="F10" s="28" t="n">
        <v>496901.45</v>
      </c>
      <c r="G10" s="28" t="n">
        <v>496901.45</v>
      </c>
      <c r="H10" s="37" t="n">
        <v>-3098.55</v>
      </c>
      <c r="I10" s="38" t="n">
        <v>-0.0062</v>
      </c>
      <c r="J10" s="27" t="inlineStr">
        <is>
          <t>ซื้อ</t>
        </is>
      </c>
      <c r="K10" s="27" t="n">
        <v>0</v>
      </c>
      <c r="L10" s="27" t="n">
        <v>0</v>
      </c>
      <c r="M10" s="27" t="n">
        <v>15</v>
      </c>
    </row>
    <row r="11">
      <c r="A11" s="32" t="n">
        <v>10</v>
      </c>
      <c r="B11" s="32" t="inlineStr">
        <is>
          <t>2026-04-27</t>
        </is>
      </c>
      <c r="C11" s="33" t="n">
        <v>72044.78</v>
      </c>
      <c r="D11" s="33" t="n">
        <v>0</v>
      </c>
      <c r="E11" s="34" t="n">
        <v>6.858916</v>
      </c>
      <c r="F11" s="33" t="n">
        <v>494149.12</v>
      </c>
      <c r="G11" s="33" t="n">
        <v>494149.12</v>
      </c>
      <c r="H11" s="39" t="n">
        <v>-5850.88</v>
      </c>
      <c r="I11" s="40" t="n">
        <v>-0.0117</v>
      </c>
      <c r="J11" s="32" t="inlineStr">
        <is>
          <t>ถือ</t>
        </is>
      </c>
      <c r="K11" s="32" t="n">
        <v>0</v>
      </c>
      <c r="L11" s="32" t="n">
        <v>0</v>
      </c>
      <c r="M11" s="32" t="n">
        <v>15</v>
      </c>
    </row>
    <row r="12">
      <c r="A12" s="27" t="n">
        <v>11</v>
      </c>
      <c r="B12" s="27" t="inlineStr">
        <is>
          <t>2026-04-28</t>
        </is>
      </c>
      <c r="C12" s="28" t="n">
        <v>71099.81</v>
      </c>
      <c r="D12" s="28" t="n">
        <v>0</v>
      </c>
      <c r="E12" s="29" t="n">
        <v>6.858916</v>
      </c>
      <c r="F12" s="28" t="n">
        <v>487667.65</v>
      </c>
      <c r="G12" s="28" t="n">
        <v>487667.65</v>
      </c>
      <c r="H12" s="37" t="n">
        <v>-12332.35</v>
      </c>
      <c r="I12" s="38" t="n">
        <v>-0.0247</v>
      </c>
      <c r="J12" s="27" t="inlineStr">
        <is>
          <t>ขาย</t>
        </is>
      </c>
      <c r="K12" s="27" t="n">
        <v>0</v>
      </c>
      <c r="L12" s="27" t="n">
        <v>0</v>
      </c>
      <c r="M12" s="27" t="n">
        <v>15</v>
      </c>
    </row>
    <row r="13">
      <c r="A13" s="32" t="n">
        <v>12</v>
      </c>
      <c r="B13" s="32" t="inlineStr">
        <is>
          <t>2026-04-29</t>
        </is>
      </c>
      <c r="C13" s="33" t="n">
        <v>70776.37</v>
      </c>
      <c r="D13" s="33" t="n">
        <v>0</v>
      </c>
      <c r="E13" s="34" t="n">
        <v>6.858916</v>
      </c>
      <c r="F13" s="33" t="n">
        <v>485449.17</v>
      </c>
      <c r="G13" s="33" t="n">
        <v>485449.17</v>
      </c>
      <c r="H13" s="39" t="n">
        <v>-14550.83</v>
      </c>
      <c r="I13" s="40" t="n">
        <v>-0.0291</v>
      </c>
      <c r="J13" s="32" t="inlineStr">
        <is>
          <t>ถือ</t>
        </is>
      </c>
      <c r="K13" s="32" t="n">
        <v>0</v>
      </c>
      <c r="L13" s="32" t="n">
        <v>0</v>
      </c>
      <c r="M13" s="32" t="n">
        <v>15</v>
      </c>
    </row>
    <row r="14">
      <c r="A14" s="27" t="n">
        <v>13</v>
      </c>
      <c r="B14" s="27" t="inlineStr">
        <is>
          <t>2026-04-30</t>
        </is>
      </c>
      <c r="C14" s="28" t="n">
        <v>71365.74000000001</v>
      </c>
      <c r="D14" s="28" t="n">
        <v>0</v>
      </c>
      <c r="E14" s="29" t="n">
        <v>6.858916</v>
      </c>
      <c r="F14" s="28" t="n">
        <v>489491.64</v>
      </c>
      <c r="G14" s="28" t="n">
        <v>489491.64</v>
      </c>
      <c r="H14" s="37" t="n">
        <v>-10508.36</v>
      </c>
      <c r="I14" s="38" t="n">
        <v>-0.021</v>
      </c>
      <c r="J14" s="27" t="inlineStr">
        <is>
          <t>ซื้อ</t>
        </is>
      </c>
      <c r="K14" s="27" t="n">
        <v>0</v>
      </c>
      <c r="L14" s="27" t="n">
        <v>0</v>
      </c>
      <c r="M14" s="27" t="n">
        <v>15</v>
      </c>
    </row>
    <row r="15">
      <c r="A15" s="32" t="n">
        <v>14</v>
      </c>
      <c r="B15" s="32" t="inlineStr">
        <is>
          <t>2026-05-01</t>
        </is>
      </c>
      <c r="C15" s="33" t="n">
        <v>70443.88</v>
      </c>
      <c r="D15" s="33" t="n">
        <v>0</v>
      </c>
      <c r="E15" s="34" t="n">
        <v>6.858916</v>
      </c>
      <c r="F15" s="33" t="n">
        <v>483168.66</v>
      </c>
      <c r="G15" s="33" t="n">
        <v>483168.66</v>
      </c>
      <c r="H15" s="39" t="n">
        <v>-16831.34</v>
      </c>
      <c r="I15" s="40" t="n">
        <v>-0.0337</v>
      </c>
      <c r="J15" s="32" t="inlineStr">
        <is>
          <t>ขาย</t>
        </is>
      </c>
      <c r="K15" s="32" t="n">
        <v>0</v>
      </c>
      <c r="L15" s="32" t="n">
        <v>0</v>
      </c>
      <c r="M15" s="32" t="n">
        <v>15</v>
      </c>
    </row>
    <row r="16">
      <c r="A16" s="27" t="n">
        <v>15</v>
      </c>
      <c r="B16" s="27" t="inlineStr">
        <is>
          <t>2026-05-02</t>
        </is>
      </c>
      <c r="C16" s="28" t="n">
        <v>70727.91</v>
      </c>
      <c r="D16" s="28" t="n">
        <v>0</v>
      </c>
      <c r="E16" s="29" t="n">
        <v>6.858916</v>
      </c>
      <c r="F16" s="28" t="n">
        <v>485116.8</v>
      </c>
      <c r="G16" s="28" t="n">
        <v>485116.8</v>
      </c>
      <c r="H16" s="37" t="n">
        <v>-14883.2</v>
      </c>
      <c r="I16" s="38" t="n">
        <v>-0.0298</v>
      </c>
      <c r="J16" s="27" t="inlineStr">
        <is>
          <t>ซื้อ</t>
        </is>
      </c>
      <c r="K16" s="27" t="n">
        <v>0</v>
      </c>
      <c r="L16" s="27" t="n">
        <v>0</v>
      </c>
      <c r="M16" s="27" t="n">
        <v>15</v>
      </c>
    </row>
    <row r="17">
      <c r="A17" s="32" t="n">
        <v>16</v>
      </c>
      <c r="B17" s="32" t="inlineStr">
        <is>
          <t>2026-05-03</t>
        </is>
      </c>
      <c r="C17" s="33" t="n">
        <v>71016.89999999999</v>
      </c>
      <c r="D17" s="33" t="n">
        <v>0</v>
      </c>
      <c r="E17" s="34" t="n">
        <v>6.858916</v>
      </c>
      <c r="F17" s="33" t="n">
        <v>487098.96</v>
      </c>
      <c r="G17" s="33" t="n">
        <v>487098.96</v>
      </c>
      <c r="H17" s="39" t="n">
        <v>-12901.04</v>
      </c>
      <c r="I17" s="40" t="n">
        <v>-0.0258</v>
      </c>
      <c r="J17" s="32" t="inlineStr">
        <is>
          <t>ซื้อ</t>
        </is>
      </c>
      <c r="K17" s="32" t="n">
        <v>0</v>
      </c>
      <c r="L17" s="32" t="n">
        <v>0</v>
      </c>
      <c r="M17" s="32" t="n">
        <v>15</v>
      </c>
    </row>
    <row r="18">
      <c r="A18" s="27" t="n">
        <v>17</v>
      </c>
      <c r="B18" s="27" t="inlineStr">
        <is>
          <t>2026-05-04</t>
        </is>
      </c>
      <c r="C18" s="28" t="n">
        <v>70326.53</v>
      </c>
      <c r="D18" s="28" t="n">
        <v>0</v>
      </c>
      <c r="E18" s="29" t="n">
        <v>6.858916</v>
      </c>
      <c r="F18" s="28" t="n">
        <v>482363.81</v>
      </c>
      <c r="G18" s="28" t="n">
        <v>482363.81</v>
      </c>
      <c r="H18" s="37" t="n">
        <v>-17636.19</v>
      </c>
      <c r="I18" s="38" t="n">
        <v>-0.0353</v>
      </c>
      <c r="J18" s="27" t="inlineStr">
        <is>
          <t>ขาย</t>
        </is>
      </c>
      <c r="K18" s="27" t="n">
        <v>0</v>
      </c>
      <c r="L18" s="27" t="n">
        <v>0</v>
      </c>
      <c r="M18" s="27" t="n">
        <v>15</v>
      </c>
    </row>
    <row r="19">
      <c r="A19" s="32" t="n">
        <v>18</v>
      </c>
      <c r="B19" s="32" t="inlineStr">
        <is>
          <t>2026-05-05</t>
        </is>
      </c>
      <c r="C19" s="33" t="n">
        <v>70632.55</v>
      </c>
      <c r="D19" s="33" t="n">
        <v>0</v>
      </c>
      <c r="E19" s="34" t="n">
        <v>6.858916</v>
      </c>
      <c r="F19" s="33" t="n">
        <v>484462.79</v>
      </c>
      <c r="G19" s="33" t="n">
        <v>484462.79</v>
      </c>
      <c r="H19" s="39" t="n">
        <v>-15537.21</v>
      </c>
      <c r="I19" s="40" t="n">
        <v>-0.0311</v>
      </c>
      <c r="J19" s="32" t="inlineStr">
        <is>
          <t>ซื้อ</t>
        </is>
      </c>
      <c r="K19" s="32" t="n">
        <v>0</v>
      </c>
      <c r="L19" s="32" t="n">
        <v>0</v>
      </c>
      <c r="M19" s="32" t="n">
        <v>15</v>
      </c>
    </row>
    <row r="20">
      <c r="A20" s="27" t="n">
        <v>19</v>
      </c>
      <c r="B20" s="27" t="inlineStr">
        <is>
          <t>2026-05-06</t>
        </is>
      </c>
      <c r="C20" s="28" t="n">
        <v>71668.09</v>
      </c>
      <c r="D20" s="28" t="n">
        <v>0</v>
      </c>
      <c r="E20" s="29" t="n">
        <v>6.858916</v>
      </c>
      <c r="F20" s="28" t="n">
        <v>491565.41</v>
      </c>
      <c r="G20" s="28" t="n">
        <v>491565.41</v>
      </c>
      <c r="H20" s="37" t="n">
        <v>-8434.59</v>
      </c>
      <c r="I20" s="38" t="n">
        <v>-0.0169</v>
      </c>
      <c r="J20" s="27" t="inlineStr">
        <is>
          <t>ซื้อ</t>
        </is>
      </c>
      <c r="K20" s="27" t="n">
        <v>0</v>
      </c>
      <c r="L20" s="27" t="n">
        <v>0</v>
      </c>
      <c r="M20" s="27" t="n">
        <v>15</v>
      </c>
    </row>
    <row r="21">
      <c r="A21" s="32" t="n">
        <v>20</v>
      </c>
      <c r="B21" s="32" t="inlineStr">
        <is>
          <t>2026-05-07</t>
        </is>
      </c>
      <c r="C21" s="33" t="n">
        <v>72060.7</v>
      </c>
      <c r="D21" s="33" t="n">
        <v>0</v>
      </c>
      <c r="E21" s="34" t="n">
        <v>6.858916</v>
      </c>
      <c r="F21" s="33" t="n">
        <v>494258.29</v>
      </c>
      <c r="G21" s="33" t="n">
        <v>494258.29</v>
      </c>
      <c r="H21" s="39" t="n">
        <v>-5741.71</v>
      </c>
      <c r="I21" s="40" t="n">
        <v>-0.0115</v>
      </c>
      <c r="J21" s="32" t="inlineStr">
        <is>
          <t>ถือ</t>
        </is>
      </c>
      <c r="K21" s="32" t="n">
        <v>0</v>
      </c>
      <c r="L21" s="32" t="n">
        <v>0</v>
      </c>
      <c r="M21" s="32" t="n">
        <v>15</v>
      </c>
    </row>
    <row r="22">
      <c r="A22" s="27" t="n">
        <v>21</v>
      </c>
      <c r="B22" s="27" t="inlineStr">
        <is>
          <t>2026-05-08</t>
        </is>
      </c>
      <c r="C22" s="28" t="n">
        <v>72116.72</v>
      </c>
      <c r="D22" s="28" t="n">
        <v>0</v>
      </c>
      <c r="E22" s="29" t="n">
        <v>6.858916</v>
      </c>
      <c r="F22" s="28" t="n">
        <v>494642.55</v>
      </c>
      <c r="G22" s="28" t="n">
        <v>494642.55</v>
      </c>
      <c r="H22" s="37" t="n">
        <v>-5357.45</v>
      </c>
      <c r="I22" s="38" t="n">
        <v>-0.0107</v>
      </c>
      <c r="J22" s="27" t="inlineStr">
        <is>
          <t>ขาย</t>
        </is>
      </c>
      <c r="K22" s="27" t="n">
        <v>0</v>
      </c>
      <c r="L22" s="27" t="n">
        <v>0</v>
      </c>
      <c r="M22" s="27" t="n">
        <v>15</v>
      </c>
    </row>
    <row r="23">
      <c r="A23" s="32" t="n">
        <v>22</v>
      </c>
      <c r="B23" s="32" t="inlineStr">
        <is>
          <t>2026-05-09</t>
        </is>
      </c>
      <c r="C23" s="33" t="n">
        <v>71932.21000000001</v>
      </c>
      <c r="D23" s="33" t="n">
        <v>0</v>
      </c>
      <c r="E23" s="34" t="n">
        <v>6.858916</v>
      </c>
      <c r="F23" s="33" t="n">
        <v>493377.03</v>
      </c>
      <c r="G23" s="33" t="n">
        <v>493377.03</v>
      </c>
      <c r="H23" s="39" t="n">
        <v>-6622.97</v>
      </c>
      <c r="I23" s="40" t="n">
        <v>-0.0132</v>
      </c>
      <c r="J23" s="32" t="inlineStr">
        <is>
          <t>ถือ</t>
        </is>
      </c>
      <c r="K23" s="32" t="n">
        <v>0</v>
      </c>
      <c r="L23" s="32" t="n">
        <v>0</v>
      </c>
      <c r="M23" s="32" t="n">
        <v>15</v>
      </c>
    </row>
    <row r="24">
      <c r="A24" s="27" t="n">
        <v>23</v>
      </c>
      <c r="B24" s="27" t="inlineStr">
        <is>
          <t>2026-05-10</t>
        </is>
      </c>
      <c r="C24" s="28" t="n">
        <v>71932.21000000001</v>
      </c>
      <c r="D24" s="28" t="n">
        <v>0</v>
      </c>
      <c r="E24" s="29" t="n">
        <v>6.858916</v>
      </c>
      <c r="F24" s="28" t="n">
        <v>493377.03</v>
      </c>
      <c r="G24" s="28" t="n">
        <v>493377.03</v>
      </c>
      <c r="H24" s="37" t="n">
        <v>-6622.97</v>
      </c>
      <c r="I24" s="38" t="n">
        <v>-0.0132</v>
      </c>
      <c r="J24" s="27" t="inlineStr">
        <is>
          <t>ถือ</t>
        </is>
      </c>
      <c r="K24" s="27" t="n">
        <v>0</v>
      </c>
      <c r="L24" s="27" t="n">
        <v>0</v>
      </c>
      <c r="M24" s="27" t="n">
        <v>15</v>
      </c>
    </row>
    <row r="25">
      <c r="A25" s="32" t="n">
        <v>24</v>
      </c>
      <c r="B25" s="32" t="inlineStr">
        <is>
          <t>2026-05-11</t>
        </is>
      </c>
      <c r="C25" s="33" t="n">
        <v>71757.74000000001</v>
      </c>
      <c r="D25" s="33" t="n">
        <v>0</v>
      </c>
      <c r="E25" s="34" t="n">
        <v>6.858916</v>
      </c>
      <c r="F25" s="33" t="n">
        <v>492180.32</v>
      </c>
      <c r="G25" s="33" t="n">
        <v>492180.32</v>
      </c>
      <c r="H25" s="39" t="n">
        <v>-7819.68</v>
      </c>
      <c r="I25" s="40" t="n">
        <v>-0.0156</v>
      </c>
      <c r="J25" s="32" t="inlineStr">
        <is>
          <t>ขาย</t>
        </is>
      </c>
      <c r="K25" s="32" t="n">
        <v>0</v>
      </c>
      <c r="L25" s="32" t="n">
        <v>0</v>
      </c>
      <c r="M25" s="32" t="n">
        <v>15</v>
      </c>
    </row>
    <row r="26">
      <c r="A26" s="27" t="n">
        <v>25</v>
      </c>
      <c r="B26" s="27" t="inlineStr">
        <is>
          <t>2026-05-12</t>
        </is>
      </c>
      <c r="C26" s="28" t="n">
        <v>72043.35000000001</v>
      </c>
      <c r="D26" s="28" t="n">
        <v>0</v>
      </c>
      <c r="E26" s="29" t="n">
        <v>6.858916</v>
      </c>
      <c r="F26" s="28" t="n">
        <v>494139.29</v>
      </c>
      <c r="G26" s="28" t="n">
        <v>494139.29</v>
      </c>
      <c r="H26" s="37" t="n">
        <v>-5860.71</v>
      </c>
      <c r="I26" s="38" t="n">
        <v>-0.0117</v>
      </c>
      <c r="J26" s="27" t="inlineStr">
        <is>
          <t>ถือ</t>
        </is>
      </c>
      <c r="K26" s="27" t="n">
        <v>0</v>
      </c>
      <c r="L26" s="27" t="n">
        <v>0</v>
      </c>
      <c r="M26" s="27" t="n">
        <v>15</v>
      </c>
    </row>
    <row r="27">
      <c r="A27" s="32" t="n">
        <v>26</v>
      </c>
      <c r="B27" s="32" t="inlineStr">
        <is>
          <t>2026-05-13</t>
        </is>
      </c>
      <c r="C27" s="33" t="n">
        <v>71879.28</v>
      </c>
      <c r="D27" s="33" t="n">
        <v>0</v>
      </c>
      <c r="E27" s="34" t="n">
        <v>6.858916</v>
      </c>
      <c r="F27" s="33" t="n">
        <v>493013.98</v>
      </c>
      <c r="G27" s="33" t="n">
        <v>493013.98</v>
      </c>
      <c r="H27" s="39" t="n">
        <v>-6986.02</v>
      </c>
      <c r="I27" s="40" t="n">
        <v>-0.014</v>
      </c>
      <c r="J27" s="32" t="inlineStr">
        <is>
          <t>ขาย</t>
        </is>
      </c>
      <c r="K27" s="32" t="n">
        <v>0</v>
      </c>
      <c r="L27" s="32" t="n">
        <v>0</v>
      </c>
      <c r="M27" s="32" t="n">
        <v>15</v>
      </c>
    </row>
    <row r="28">
      <c r="A28" s="27" t="n">
        <v>27</v>
      </c>
      <c r="B28" s="27" t="inlineStr">
        <is>
          <t>2026-05-14</t>
        </is>
      </c>
      <c r="C28" s="28" t="n">
        <v>71879.13</v>
      </c>
      <c r="D28" s="28" t="n">
        <v>0</v>
      </c>
      <c r="E28" s="29" t="n">
        <v>6.858916</v>
      </c>
      <c r="F28" s="28" t="n">
        <v>493012.93</v>
      </c>
      <c r="G28" s="28" t="n">
        <v>493012.93</v>
      </c>
      <c r="H28" s="37" t="n">
        <v>-6987.07</v>
      </c>
      <c r="I28" s="38" t="n">
        <v>-0.014</v>
      </c>
      <c r="J28" s="27" t="inlineStr">
        <is>
          <t>ถือ</t>
        </is>
      </c>
      <c r="K28" s="27" t="n">
        <v>0</v>
      </c>
      <c r="L28" s="27" t="n">
        <v>0</v>
      </c>
      <c r="M28" s="27" t="n">
        <v>15</v>
      </c>
    </row>
    <row r="29">
      <c r="A29" s="32" t="n">
        <v>28</v>
      </c>
      <c r="B29" s="32" t="inlineStr">
        <is>
          <t>2026-05-15</t>
        </is>
      </c>
      <c r="C29" s="33" t="n">
        <v>70250.13</v>
      </c>
      <c r="D29" s="33" t="n">
        <v>0</v>
      </c>
      <c r="E29" s="34" t="n">
        <v>6.858916</v>
      </c>
      <c r="F29" s="33" t="n">
        <v>481839.74</v>
      </c>
      <c r="G29" s="33" t="n">
        <v>481839.74</v>
      </c>
      <c r="H29" s="39" t="n">
        <v>-18160.26</v>
      </c>
      <c r="I29" s="40" t="n">
        <v>-0.0363</v>
      </c>
      <c r="J29" s="32" t="inlineStr">
        <is>
          <t>ขาย</t>
        </is>
      </c>
      <c r="K29" s="32" t="n">
        <v>0</v>
      </c>
      <c r="L29" s="32" t="n">
        <v>0</v>
      </c>
      <c r="M29" s="32" t="n">
        <v>15</v>
      </c>
    </row>
    <row r="30">
      <c r="A30" s="27" t="n">
        <v>29</v>
      </c>
      <c r="B30" s="27" t="inlineStr">
        <is>
          <t>2026-05-16</t>
        </is>
      </c>
      <c r="C30" s="28" t="n">
        <v>70444.31</v>
      </c>
      <c r="D30" s="28" t="n">
        <v>0</v>
      </c>
      <c r="E30" s="29" t="n">
        <v>6.858916</v>
      </c>
      <c r="F30" s="28" t="n">
        <v>483171.67</v>
      </c>
      <c r="G30" s="28" t="n">
        <v>483171.67</v>
      </c>
      <c r="H30" s="37" t="n">
        <v>-16828.33</v>
      </c>
      <c r="I30" s="38" t="n">
        <v>-0.0337</v>
      </c>
      <c r="J30" s="27" t="inlineStr">
        <is>
          <t>ถือ</t>
        </is>
      </c>
      <c r="K30" s="27" t="n">
        <v>0</v>
      </c>
      <c r="L30" s="27" t="n">
        <v>0</v>
      </c>
      <c r="M30" s="27" t="n">
        <v>15</v>
      </c>
    </row>
    <row r="31">
      <c r="A31" s="32" t="n">
        <v>30</v>
      </c>
      <c r="B31" s="32" t="inlineStr">
        <is>
          <t>2026-05-17</t>
        </is>
      </c>
      <c r="C31" s="33" t="n">
        <v>70444.31</v>
      </c>
      <c r="D31" s="33" t="n">
        <v>0</v>
      </c>
      <c r="E31" s="34" t="n">
        <v>6.858916</v>
      </c>
      <c r="F31" s="33" t="n">
        <v>483171.67</v>
      </c>
      <c r="G31" s="33" t="n">
        <v>483171.67</v>
      </c>
      <c r="H31" s="39" t="n">
        <v>-16828.33</v>
      </c>
      <c r="I31" s="40" t="n">
        <v>-0.0337</v>
      </c>
      <c r="J31" s="32" t="inlineStr">
        <is>
          <t>ถือ</t>
        </is>
      </c>
      <c r="K31" s="32" t="n">
        <v>0</v>
      </c>
      <c r="L31" s="32" t="n">
        <v>0</v>
      </c>
      <c r="M31" s="32" t="n">
        <v>15</v>
      </c>
    </row>
    <row r="32">
      <c r="A32" s="27" t="n">
        <v>31</v>
      </c>
      <c r="B32" s="27" t="inlineStr">
        <is>
          <t>2026-05-18</t>
        </is>
      </c>
      <c r="C32" s="28" t="n">
        <v>70169.92999999999</v>
      </c>
      <c r="D32" s="28" t="n">
        <v>0</v>
      </c>
      <c r="E32" s="29" t="n">
        <v>6.858916</v>
      </c>
      <c r="F32" s="28" t="n">
        <v>481289.69</v>
      </c>
      <c r="G32" s="28" t="n">
        <v>481289.69</v>
      </c>
      <c r="H32" s="37" t="n">
        <v>-18710.31</v>
      </c>
      <c r="I32" s="38" t="n">
        <v>-0.0374</v>
      </c>
      <c r="J32" s="27" t="inlineStr">
        <is>
          <t>ถือ</t>
        </is>
      </c>
      <c r="K32" s="27" t="n">
        <v>0</v>
      </c>
      <c r="L32" s="27" t="n">
        <v>0</v>
      </c>
      <c r="M32" s="27" t="n">
        <v>15</v>
      </c>
    </row>
    <row r="33">
      <c r="A33" s="32" t="n">
        <v>32</v>
      </c>
      <c r="B33" s="32" t="inlineStr">
        <is>
          <t>2026-05-19</t>
        </is>
      </c>
      <c r="C33" s="33" t="n">
        <v>69984.78</v>
      </c>
      <c r="D33" s="33" t="n">
        <v>0</v>
      </c>
      <c r="E33" s="34" t="n">
        <v>6.858916</v>
      </c>
      <c r="F33" s="33" t="n">
        <v>480019.75</v>
      </c>
      <c r="G33" s="33" t="n">
        <v>480019.75</v>
      </c>
      <c r="H33" s="39" t="n">
        <v>-19980.25</v>
      </c>
      <c r="I33" s="40" t="n">
        <v>-0.04</v>
      </c>
      <c r="J33" s="32" t="inlineStr">
        <is>
          <t>ซื้อ</t>
        </is>
      </c>
      <c r="K33" s="32" t="n">
        <v>0</v>
      </c>
      <c r="L33" s="32" t="n">
        <v>0</v>
      </c>
      <c r="M33" s="32" t="n">
        <v>15</v>
      </c>
    </row>
    <row r="34">
      <c r="A34" s="27" t="n">
        <v>33</v>
      </c>
      <c r="B34" s="27" t="inlineStr">
        <is>
          <t>2026-05-20</t>
        </is>
      </c>
      <c r="C34" s="28" t="n">
        <v>69110.28</v>
      </c>
      <c r="D34" s="28" t="n">
        <v>0</v>
      </c>
      <c r="E34" s="29" t="n">
        <v>6.858916</v>
      </c>
      <c r="F34" s="28" t="n">
        <v>474021.6</v>
      </c>
      <c r="G34" s="28" t="n">
        <v>474021.6</v>
      </c>
      <c r="H34" s="37" t="n">
        <v>-25978.4</v>
      </c>
      <c r="I34" s="38" t="n">
        <v>-0.052</v>
      </c>
      <c r="J34" s="27" t="inlineStr">
        <is>
          <t>ขาย</t>
        </is>
      </c>
      <c r="K34" s="27" t="n">
        <v>0</v>
      </c>
      <c r="L34" s="27" t="n">
        <v>0</v>
      </c>
      <c r="M34" s="27" t="n">
        <v>15</v>
      </c>
    </row>
    <row r="35">
      <c r="A35" s="32" t="n">
        <v>34</v>
      </c>
      <c r="B35" s="32" t="inlineStr">
        <is>
          <t>2026-05-21</t>
        </is>
      </c>
      <c r="C35" s="33" t="n">
        <v>69890.14999999999</v>
      </c>
      <c r="D35" s="33" t="n">
        <v>0</v>
      </c>
      <c r="E35" s="34" t="n">
        <v>6.858916</v>
      </c>
      <c r="F35" s="33" t="n">
        <v>479370.72</v>
      </c>
      <c r="G35" s="33" t="n">
        <v>479370.72</v>
      </c>
      <c r="H35" s="39" t="n">
        <v>-20629.28</v>
      </c>
      <c r="I35" s="40" t="n">
        <v>-0.0413</v>
      </c>
      <c r="J35" s="32" t="inlineStr">
        <is>
          <t>ซื้อ</t>
        </is>
      </c>
      <c r="K35" s="32" t="n">
        <v>0</v>
      </c>
      <c r="L35" s="32" t="n">
        <v>0</v>
      </c>
      <c r="M35" s="32" t="n">
        <v>15</v>
      </c>
    </row>
    <row r="36">
      <c r="A36" s="27" t="n">
        <v>35</v>
      </c>
      <c r="B36" s="27" t="inlineStr">
        <is>
          <t>2026-05-22</t>
        </is>
      </c>
      <c r="C36" s="28" t="n">
        <v>70044.00999999999</v>
      </c>
      <c r="D36" s="28" t="n">
        <v>0</v>
      </c>
      <c r="E36" s="29" t="n">
        <v>6.858916</v>
      </c>
      <c r="F36" s="28" t="n">
        <v>480426.01</v>
      </c>
      <c r="G36" s="28" t="n">
        <v>480426.01</v>
      </c>
      <c r="H36" s="37" t="n">
        <v>-19573.99</v>
      </c>
      <c r="I36" s="38" t="n">
        <v>-0.0391</v>
      </c>
      <c r="J36" s="27" t="inlineStr">
        <is>
          <t>ซื้อ</t>
        </is>
      </c>
      <c r="K36" s="27" t="n">
        <v>0</v>
      </c>
      <c r="L36" s="27" t="n">
        <v>0</v>
      </c>
      <c r="M36" s="27" t="n">
        <v>15</v>
      </c>
    </row>
    <row r="37">
      <c r="A37" s="32" t="n">
        <v>36</v>
      </c>
      <c r="B37" s="32" t="inlineStr">
        <is>
          <t>2026-05-23</t>
        </is>
      </c>
      <c r="C37" s="33" t="n">
        <v>69629.27</v>
      </c>
      <c r="D37" s="33" t="n">
        <v>0</v>
      </c>
      <c r="E37" s="34" t="n">
        <v>6.858916</v>
      </c>
      <c r="F37" s="33" t="n">
        <v>477581.32</v>
      </c>
      <c r="G37" s="33" t="n">
        <v>477581.32</v>
      </c>
      <c r="H37" s="39" t="n">
        <v>-22418.68</v>
      </c>
      <c r="I37" s="40" t="n">
        <v>-0.04480000000000001</v>
      </c>
      <c r="J37" s="32" t="inlineStr">
        <is>
          <t>ขาย</t>
        </is>
      </c>
      <c r="K37" s="32" t="n">
        <v>0</v>
      </c>
      <c r="L37" s="32" t="n">
        <v>0</v>
      </c>
      <c r="M37" s="32" t="n">
        <v>15</v>
      </c>
    </row>
    <row r="38">
      <c r="A38" s="27" t="n">
        <v>37</v>
      </c>
      <c r="B38" s="27" t="inlineStr">
        <is>
          <t>2026-05-24</t>
        </is>
      </c>
      <c r="C38" s="28" t="n">
        <v>69825.32000000001</v>
      </c>
      <c r="D38" s="28" t="n">
        <v>0</v>
      </c>
      <c r="E38" s="29" t="n">
        <v>6.858916</v>
      </c>
      <c r="F38" s="28" t="n">
        <v>478926.04</v>
      </c>
      <c r="G38" s="28" t="n">
        <v>478926.04</v>
      </c>
      <c r="H38" s="37" t="n">
        <v>-21073.96</v>
      </c>
      <c r="I38" s="38" t="n">
        <v>-0.0421</v>
      </c>
      <c r="J38" s="27" t="inlineStr">
        <is>
          <t>ขาย</t>
        </is>
      </c>
      <c r="K38" s="27" t="n">
        <v>0</v>
      </c>
      <c r="L38" s="27" t="n">
        <v>0</v>
      </c>
      <c r="M38" s="27" t="n">
        <v>15</v>
      </c>
    </row>
    <row r="39">
      <c r="A39" s="32" t="n">
        <v>38</v>
      </c>
      <c r="B39" s="32" t="inlineStr">
        <is>
          <t>2026-05-25</t>
        </is>
      </c>
      <c r="C39" s="33" t="n">
        <v>69825.32000000001</v>
      </c>
      <c r="D39" s="33" t="n">
        <v>0</v>
      </c>
      <c r="E39" s="34" t="n">
        <v>6.858916</v>
      </c>
      <c r="F39" s="33" t="n">
        <v>478926.04</v>
      </c>
      <c r="G39" s="33" t="n">
        <v>478926.04</v>
      </c>
      <c r="H39" s="39" t="n">
        <v>-21073.96</v>
      </c>
      <c r="I39" s="40" t="n">
        <v>-0.0421</v>
      </c>
      <c r="J39" s="32" t="inlineStr">
        <is>
          <t>ขาย</t>
        </is>
      </c>
      <c r="K39" s="32" t="n">
        <v>0</v>
      </c>
      <c r="L39" s="32" t="n">
        <v>0</v>
      </c>
      <c r="M39" s="32" t="n">
        <v>15</v>
      </c>
    </row>
    <row r="40">
      <c r="A40" s="27" t="n">
        <v>39</v>
      </c>
      <c r="B40" s="27" t="inlineStr">
        <is>
          <t>2026-05-26</t>
        </is>
      </c>
      <c r="C40" s="28" t="n">
        <v>69807.59</v>
      </c>
      <c r="D40" s="28" t="n">
        <v>0</v>
      </c>
      <c r="E40" s="29" t="n">
        <v>6.858916</v>
      </c>
      <c r="F40" s="28" t="n">
        <v>478804.41</v>
      </c>
      <c r="G40" s="28" t="n">
        <v>478804.41</v>
      </c>
      <c r="H40" s="37" t="n">
        <v>-21195.59</v>
      </c>
      <c r="I40" s="38" t="n">
        <v>-0.0424</v>
      </c>
      <c r="J40" s="27" t="inlineStr">
        <is>
          <t>ถือ</t>
        </is>
      </c>
      <c r="K40" s="27" t="n">
        <v>0</v>
      </c>
      <c r="L40" s="27" t="n">
        <v>0</v>
      </c>
      <c r="M40" s="27" t="n">
        <v>15</v>
      </c>
    </row>
    <row r="41">
      <c r="A41" s="32" t="n">
        <v>40</v>
      </c>
      <c r="B41" s="32" t="inlineStr">
        <is>
          <t>2026-05-27</t>
        </is>
      </c>
      <c r="C41" s="33" t="n">
        <v>69263.98</v>
      </c>
      <c r="D41" s="33" t="n">
        <v>0</v>
      </c>
      <c r="E41" s="34" t="n">
        <v>6.858916</v>
      </c>
      <c r="F41" s="33" t="n">
        <v>475075.87</v>
      </c>
      <c r="G41" s="33" t="n">
        <v>475075.87</v>
      </c>
      <c r="H41" s="39" t="n">
        <v>-24924.13</v>
      </c>
      <c r="I41" s="40" t="n">
        <v>-0.0498</v>
      </c>
      <c r="J41" s="32" t="inlineStr">
        <is>
          <t>ขาย</t>
        </is>
      </c>
      <c r="K41" s="32" t="n">
        <v>0</v>
      </c>
      <c r="L41" s="32" t="n">
        <v>0</v>
      </c>
      <c r="M41" s="32" t="n">
        <v>15</v>
      </c>
    </row>
    <row r="42">
      <c r="A42" s="27" t="n">
        <v>41</v>
      </c>
      <c r="B42" s="27" t="inlineStr">
        <is>
          <t>2026-05-28</t>
        </is>
      </c>
      <c r="C42" s="28" t="n">
        <v>68315.72</v>
      </c>
      <c r="D42" s="28" t="n">
        <v>0</v>
      </c>
      <c r="E42" s="29" t="n">
        <v>6.858916</v>
      </c>
      <c r="F42" s="28" t="n">
        <v>468571.84</v>
      </c>
      <c r="G42" s="28" t="n">
        <v>468571.84</v>
      </c>
      <c r="H42" s="37" t="n">
        <v>-31428.16</v>
      </c>
      <c r="I42" s="38" t="n">
        <v>-0.0629</v>
      </c>
      <c r="J42" s="27" t="inlineStr">
        <is>
          <t>ขาย</t>
        </is>
      </c>
      <c r="K42" s="27" t="n">
        <v>0</v>
      </c>
      <c r="L42" s="27" t="n">
        <v>0</v>
      </c>
      <c r="M42" s="27" t="n">
        <v>15</v>
      </c>
    </row>
    <row r="43">
      <c r="A43" s="32" t="n">
        <v>42</v>
      </c>
      <c r="B43" s="32" t="inlineStr">
        <is>
          <t>2026-05-29</t>
        </is>
      </c>
      <c r="C43" s="33" t="n">
        <v>69891.53999999999</v>
      </c>
      <c r="D43" s="33" t="n">
        <v>0</v>
      </c>
      <c r="E43" s="34" t="n">
        <v>6.858916</v>
      </c>
      <c r="F43" s="33" t="n">
        <v>479380.26</v>
      </c>
      <c r="G43" s="33" t="n">
        <v>479380.26</v>
      </c>
      <c r="H43" s="39" t="n">
        <v>-20619.74</v>
      </c>
      <c r="I43" s="40" t="n">
        <v>-0.0412</v>
      </c>
      <c r="J43" s="32" t="inlineStr">
        <is>
          <t>ซื้อ</t>
        </is>
      </c>
      <c r="K43" s="32" t="n">
        <v>0</v>
      </c>
      <c r="L43" s="32" t="n">
        <v>0</v>
      </c>
      <c r="M43" s="32" t="n">
        <v>15</v>
      </c>
    </row>
    <row r="44">
      <c r="A44" s="27" t="n">
        <v>43</v>
      </c>
      <c r="B44" s="27" t="inlineStr">
        <is>
          <t>2026-05-30</t>
        </is>
      </c>
      <c r="C44" s="28" t="n">
        <v>70092.35000000001</v>
      </c>
      <c r="D44" s="28" t="n">
        <v>0</v>
      </c>
      <c r="E44" s="29" t="n">
        <v>6.858916</v>
      </c>
      <c r="F44" s="28" t="n">
        <v>480757.58</v>
      </c>
      <c r="G44" s="28" t="n">
        <v>480757.58</v>
      </c>
      <c r="H44" s="37" t="n">
        <v>-19242.42</v>
      </c>
      <c r="I44" s="38" t="n">
        <v>-0.0385</v>
      </c>
      <c r="J44" s="27" t="inlineStr">
        <is>
          <t>ถือ</t>
        </is>
      </c>
      <c r="K44" s="27" t="n">
        <v>0</v>
      </c>
      <c r="L44" s="27" t="n">
        <v>0</v>
      </c>
      <c r="M44" s="27" t="n">
        <v>15</v>
      </c>
    </row>
    <row r="45">
      <c r="A45" s="32" t="n">
        <v>44</v>
      </c>
      <c r="B45" s="32" t="inlineStr">
        <is>
          <t>2026-05-31</t>
        </is>
      </c>
      <c r="C45" s="33" t="n">
        <v>70446.66</v>
      </c>
      <c r="D45" s="33" t="n">
        <v>0</v>
      </c>
      <c r="E45" s="34" t="n">
        <v>6.858916</v>
      </c>
      <c r="F45" s="33" t="n">
        <v>483187.73</v>
      </c>
      <c r="G45" s="33" t="n">
        <v>483187.73</v>
      </c>
      <c r="H45" s="39" t="n">
        <v>-16812.27</v>
      </c>
      <c r="I45" s="40" t="n">
        <v>-0.0336</v>
      </c>
      <c r="J45" s="32" t="inlineStr">
        <is>
          <t>ถือ</t>
        </is>
      </c>
      <c r="K45" s="32" t="n">
        <v>0</v>
      </c>
      <c r="L45" s="32" t="n">
        <v>0</v>
      </c>
      <c r="M45" s="32" t="n">
        <v>15</v>
      </c>
    </row>
    <row r="46">
      <c r="A46" s="27" t="n">
        <v>45</v>
      </c>
      <c r="B46" s="27" t="inlineStr">
        <is>
          <t>2026-06-01</t>
        </is>
      </c>
      <c r="C46" s="28" t="n">
        <v>69749.91</v>
      </c>
      <c r="D46" s="28" t="n">
        <v>0</v>
      </c>
      <c r="E46" s="29" t="n">
        <v>6.858916</v>
      </c>
      <c r="F46" s="28" t="n">
        <v>478408.79</v>
      </c>
      <c r="G46" s="28" t="n">
        <v>478408.79</v>
      </c>
      <c r="H46" s="37" t="n">
        <v>-21591.21</v>
      </c>
      <c r="I46" s="38" t="n">
        <v>-0.0432</v>
      </c>
      <c r="J46" s="27" t="inlineStr">
        <is>
          <t>ขาย</t>
        </is>
      </c>
      <c r="K46" s="27" t="n">
        <v>0</v>
      </c>
      <c r="L46" s="27" t="n">
        <v>0</v>
      </c>
      <c r="M46" s="27" t="n">
        <v>15</v>
      </c>
    </row>
    <row r="47">
      <c r="A47" s="32" t="n">
        <v>46</v>
      </c>
      <c r="B47" s="32" t="inlineStr">
        <is>
          <t>2026-06-02</t>
        </is>
      </c>
      <c r="C47" s="33" t="n">
        <v>69957.74000000001</v>
      </c>
      <c r="D47" s="33" t="n">
        <v>0</v>
      </c>
      <c r="E47" s="34" t="n">
        <v>6.858916</v>
      </c>
      <c r="F47" s="33" t="n">
        <v>479834.32</v>
      </c>
      <c r="G47" s="33" t="n">
        <v>479834.32</v>
      </c>
      <c r="H47" s="39" t="n">
        <v>-20165.68</v>
      </c>
      <c r="I47" s="40" t="n">
        <v>-0.0403</v>
      </c>
      <c r="J47" s="32" t="inlineStr">
        <is>
          <t>ถือ</t>
        </is>
      </c>
      <c r="K47" s="32" t="n">
        <v>0</v>
      </c>
      <c r="L47" s="32" t="n">
        <v>0</v>
      </c>
      <c r="M47" s="32" t="n">
        <v>15</v>
      </c>
    </row>
    <row r="48">
      <c r="A48" s="27" t="n">
        <v>47</v>
      </c>
      <c r="B48" s="27" t="inlineStr">
        <is>
          <t>2026-06-03</t>
        </is>
      </c>
      <c r="C48" s="28" t="n">
        <v>69491.53999999999</v>
      </c>
      <c r="D48" s="28" t="n">
        <v>0</v>
      </c>
      <c r="E48" s="29" t="n">
        <v>6.858916</v>
      </c>
      <c r="F48" s="28" t="n">
        <v>476636.7</v>
      </c>
      <c r="G48" s="28" t="n">
        <v>476636.7</v>
      </c>
      <c r="H48" s="37" t="n">
        <v>-23363.3</v>
      </c>
      <c r="I48" s="38" t="n">
        <v>-0.0467</v>
      </c>
      <c r="J48" s="27" t="inlineStr">
        <is>
          <t>ขาย</t>
        </is>
      </c>
      <c r="K48" s="27" t="n">
        <v>0</v>
      </c>
      <c r="L48" s="27" t="n">
        <v>0</v>
      </c>
      <c r="M48" s="27" t="n">
        <v>15</v>
      </c>
    </row>
    <row r="49">
      <c r="A49" s="32" t="n">
        <v>48</v>
      </c>
      <c r="B49" s="32" t="inlineStr">
        <is>
          <t>2026-06-04</t>
        </is>
      </c>
      <c r="C49" s="33" t="n">
        <v>69408.52</v>
      </c>
      <c r="D49" s="33" t="n">
        <v>0</v>
      </c>
      <c r="E49" s="34" t="n">
        <v>6.858916</v>
      </c>
      <c r="F49" s="33" t="n">
        <v>476067.23</v>
      </c>
      <c r="G49" s="33" t="n">
        <v>476067.23</v>
      </c>
      <c r="H49" s="39" t="n">
        <v>-23932.77</v>
      </c>
      <c r="I49" s="40" t="n">
        <v>-0.0479</v>
      </c>
      <c r="J49" s="32" t="inlineStr">
        <is>
          <t>ถือ</t>
        </is>
      </c>
      <c r="K49" s="32" t="n">
        <v>0</v>
      </c>
      <c r="L49" s="32" t="n">
        <v>0</v>
      </c>
      <c r="M49" s="32" t="n">
        <v>15</v>
      </c>
    </row>
    <row r="50">
      <c r="A50" s="27" t="n">
        <v>49</v>
      </c>
      <c r="B50" s="27" t="inlineStr">
        <is>
          <t>2026-06-05</t>
        </is>
      </c>
      <c r="C50" s="28" t="n">
        <v>68951.09</v>
      </c>
      <c r="D50" s="28" t="n">
        <v>0</v>
      </c>
      <c r="E50" s="29" t="n">
        <v>6.858916</v>
      </c>
      <c r="F50" s="28" t="n">
        <v>472929.76</v>
      </c>
      <c r="G50" s="28" t="n">
        <v>472929.76</v>
      </c>
      <c r="H50" s="37" t="n">
        <v>-27070.24</v>
      </c>
      <c r="I50" s="38" t="n">
        <v>-0.0541</v>
      </c>
      <c r="J50" s="27" t="inlineStr">
        <is>
          <t>ขาย</t>
        </is>
      </c>
      <c r="K50" s="27" t="n">
        <v>0</v>
      </c>
      <c r="L50" s="27" t="n">
        <v>0</v>
      </c>
      <c r="M50" s="27" t="n">
        <v>15</v>
      </c>
    </row>
    <row r="51">
      <c r="A51" s="32" t="n">
        <v>50</v>
      </c>
      <c r="B51" s="32" t="inlineStr">
        <is>
          <t>2026-06-06</t>
        </is>
      </c>
      <c r="C51" s="33" t="n">
        <v>67520.69</v>
      </c>
      <c r="D51" s="33" t="n">
        <v>0</v>
      </c>
      <c r="E51" s="34" t="n">
        <v>6.858916</v>
      </c>
      <c r="F51" s="33" t="n">
        <v>463118.76</v>
      </c>
      <c r="G51" s="33" t="n">
        <v>463118.76</v>
      </c>
      <c r="H51" s="39" t="n">
        <v>-36881.24</v>
      </c>
      <c r="I51" s="40" t="n">
        <v>-0.0738</v>
      </c>
      <c r="J51" s="32" t="inlineStr">
        <is>
          <t>ขาย</t>
        </is>
      </c>
      <c r="K51" s="32" t="n">
        <v>0</v>
      </c>
      <c r="L51" s="32" t="n">
        <v>0</v>
      </c>
      <c r="M51" s="32" t="n">
        <v>15</v>
      </c>
    </row>
    <row r="52">
      <c r="A52" s="27" t="n">
        <v>51</v>
      </c>
      <c r="B52" s="27" t="inlineStr">
        <is>
          <t>2026-06-07</t>
        </is>
      </c>
      <c r="C52" s="28" t="n">
        <v>67697.48</v>
      </c>
      <c r="D52" s="28" t="n">
        <v>0</v>
      </c>
      <c r="E52" s="29" t="n">
        <v>6.858916</v>
      </c>
      <c r="F52" s="28" t="n">
        <v>464331.35</v>
      </c>
      <c r="G52" s="28" t="n">
        <v>464331.35</v>
      </c>
      <c r="H52" s="37" t="n">
        <v>-35668.65</v>
      </c>
      <c r="I52" s="38" t="n">
        <v>-0.0713</v>
      </c>
      <c r="J52" s="27" t="inlineStr">
        <is>
          <t>ขาย</t>
        </is>
      </c>
      <c r="K52" s="27" t="n">
        <v>0</v>
      </c>
      <c r="L52" s="27" t="n">
        <v>0</v>
      </c>
      <c r="M52" s="27" t="n">
        <v>15</v>
      </c>
    </row>
    <row r="53">
      <c r="A53" s="32" t="n">
        <v>52</v>
      </c>
      <c r="B53" s="32" t="inlineStr">
        <is>
          <t>2026-06-08</t>
        </is>
      </c>
      <c r="C53" s="33" t="n">
        <v>67273.2</v>
      </c>
      <c r="D53" s="33" t="n">
        <v>0</v>
      </c>
      <c r="E53" s="34" t="n">
        <v>6.858916</v>
      </c>
      <c r="F53" s="33" t="n">
        <v>461421.24</v>
      </c>
      <c r="G53" s="33" t="n">
        <v>461421.24</v>
      </c>
      <c r="H53" s="39" t="n">
        <v>-38578.76</v>
      </c>
      <c r="I53" s="40" t="n">
        <v>-0.07719999999999999</v>
      </c>
      <c r="J53" s="32" t="inlineStr">
        <is>
          <t>ซื้อ</t>
        </is>
      </c>
      <c r="K53" s="32" t="n">
        <v>0</v>
      </c>
      <c r="L53" s="32" t="n">
        <v>0</v>
      </c>
      <c r="M53" s="32" t="n">
        <v>15</v>
      </c>
    </row>
    <row r="54">
      <c r="A54" s="27" t="n">
        <v>53</v>
      </c>
      <c r="B54" s="27" t="inlineStr">
        <is>
          <t>2026-06-09</t>
        </is>
      </c>
      <c r="C54" s="28" t="n">
        <v>67754.86</v>
      </c>
      <c r="D54" s="28" t="n">
        <v>0</v>
      </c>
      <c r="E54" s="29" t="n">
        <v>6.858916</v>
      </c>
      <c r="F54" s="28" t="n">
        <v>464724.94</v>
      </c>
      <c r="G54" s="28" t="n">
        <v>464724.94</v>
      </c>
      <c r="H54" s="37" t="n">
        <v>-35275.06</v>
      </c>
      <c r="I54" s="38" t="n">
        <v>-0.0706</v>
      </c>
      <c r="J54" s="27" t="inlineStr">
        <is>
          <t>ซื้อ</t>
        </is>
      </c>
      <c r="K54" s="27" t="n">
        <v>0</v>
      </c>
      <c r="L54" s="27" t="n">
        <v>0</v>
      </c>
      <c r="M54" s="27" t="n">
        <v>15</v>
      </c>
    </row>
    <row r="55">
      <c r="A55" s="32" t="n">
        <v>54</v>
      </c>
      <c r="B55" s="32" t="inlineStr">
        <is>
          <t>2026-06-10</t>
        </is>
      </c>
      <c r="C55" s="33" t="n">
        <v>65877.59</v>
      </c>
      <c r="D55" s="33" t="n">
        <v>0</v>
      </c>
      <c r="E55" s="34" t="n">
        <v>6.858916</v>
      </c>
      <c r="F55" s="33" t="n">
        <v>451848.9</v>
      </c>
      <c r="G55" s="33" t="n">
        <v>451848.9</v>
      </c>
      <c r="H55" s="39" t="n">
        <v>-48151.1</v>
      </c>
      <c r="I55" s="40" t="n">
        <v>-0.09630000000000001</v>
      </c>
      <c r="J55" s="32" t="inlineStr">
        <is>
          <t>ขาย</t>
        </is>
      </c>
      <c r="K55" s="32" t="n">
        <v>0</v>
      </c>
      <c r="L55" s="32" t="n">
        <v>0</v>
      </c>
      <c r="M55" s="32" t="n">
        <v>15</v>
      </c>
    </row>
    <row r="56">
      <c r="A56" s="27" t="n">
        <v>55</v>
      </c>
      <c r="B56" s="27" t="inlineStr">
        <is>
          <t>2026-06-11</t>
        </is>
      </c>
      <c r="C56" s="28" t="n">
        <v>63956.7</v>
      </c>
      <c r="D56" s="28" t="n">
        <v>0</v>
      </c>
      <c r="E56" s="29" t="n">
        <v>6.858916</v>
      </c>
      <c r="F56" s="28" t="n">
        <v>438673.68</v>
      </c>
      <c r="G56" s="28" t="n">
        <v>438673.68</v>
      </c>
      <c r="H56" s="37" t="n">
        <v>-61326.32</v>
      </c>
      <c r="I56" s="38" t="n">
        <v>-0.1227</v>
      </c>
      <c r="J56" s="27" t="inlineStr">
        <is>
          <t>ถือ</t>
        </is>
      </c>
      <c r="K56" s="27" t="n">
        <v>0</v>
      </c>
      <c r="L56" s="27" t="n">
        <v>0</v>
      </c>
      <c r="M56" s="27" t="n">
        <v>15</v>
      </c>
    </row>
    <row r="57">
      <c r="A57" s="32" t="n">
        <v>56</v>
      </c>
      <c r="B57" s="32" t="inlineStr">
        <is>
          <t>2026-06-12</t>
        </is>
      </c>
      <c r="C57" s="33" t="n">
        <v>65179.24</v>
      </c>
      <c r="D57" s="33" t="n">
        <v>0</v>
      </c>
      <c r="E57" s="34" t="n">
        <v>6.858916</v>
      </c>
      <c r="F57" s="33" t="n">
        <v>447058.98</v>
      </c>
      <c r="G57" s="33" t="n">
        <v>447058.98</v>
      </c>
      <c r="H57" s="39" t="n">
        <v>-52941.02</v>
      </c>
      <c r="I57" s="40" t="n">
        <v>-0.1059</v>
      </c>
      <c r="J57" s="32" t="inlineStr">
        <is>
          <t>ซื้อ</t>
        </is>
      </c>
      <c r="K57" s="32" t="n">
        <v>0</v>
      </c>
      <c r="L57" s="32" t="n">
        <v>0</v>
      </c>
      <c r="M57" s="32" t="n">
        <v>15</v>
      </c>
    </row>
    <row r="58">
      <c r="A58" s="27" t="n">
        <v>57</v>
      </c>
      <c r="B58" s="27" t="inlineStr">
        <is>
          <t>2026-06-13</t>
        </is>
      </c>
      <c r="C58" s="28" t="n">
        <v>65532.18</v>
      </c>
      <c r="D58" s="28" t="n">
        <v>0</v>
      </c>
      <c r="E58" s="29" t="n">
        <v>6.858916</v>
      </c>
      <c r="F58" s="28" t="n">
        <v>449479.78</v>
      </c>
      <c r="G58" s="28" t="n">
        <v>449479.78</v>
      </c>
      <c r="H58" s="37" t="n">
        <v>-50520.22</v>
      </c>
      <c r="I58" s="38" t="n">
        <v>-0.101</v>
      </c>
      <c r="J58" s="27" t="inlineStr">
        <is>
          <t>ถือ</t>
        </is>
      </c>
      <c r="K58" s="27" t="n">
        <v>0</v>
      </c>
      <c r="L58" s="27" t="n">
        <v>0</v>
      </c>
      <c r="M58" s="27" t="n">
        <v>15</v>
      </c>
    </row>
    <row r="59">
      <c r="A59" s="32" t="n">
        <v>58</v>
      </c>
      <c r="B59" s="32" t="inlineStr">
        <is>
          <t>2026-06-14</t>
        </is>
      </c>
      <c r="C59" s="33" t="n">
        <v>65515.18</v>
      </c>
      <c r="D59" s="33" t="n">
        <v>0</v>
      </c>
      <c r="E59" s="34" t="n">
        <v>6.858916</v>
      </c>
      <c r="F59" s="33" t="n">
        <v>449363.16</v>
      </c>
      <c r="G59" s="33" t="n">
        <v>449363.16</v>
      </c>
      <c r="H59" s="39" t="n">
        <v>-50636.84</v>
      </c>
      <c r="I59" s="40" t="n">
        <v>-0.1013</v>
      </c>
      <c r="J59" s="32" t="inlineStr">
        <is>
          <t>ถือ</t>
        </is>
      </c>
      <c r="K59" s="32" t="n">
        <v>0</v>
      </c>
      <c r="L59" s="32" t="n">
        <v>0</v>
      </c>
      <c r="M59" s="32" t="n">
        <v>15</v>
      </c>
    </row>
    <row r="60">
      <c r="A60" s="27" t="n">
        <v>59</v>
      </c>
      <c r="B60" s="27" t="inlineStr">
        <is>
          <t>2026-06-15</t>
        </is>
      </c>
      <c r="C60" s="28" t="n">
        <v>66654.84</v>
      </c>
      <c r="D60" s="28" t="n">
        <v>0</v>
      </c>
      <c r="E60" s="29" t="n">
        <v>6.858916</v>
      </c>
      <c r="F60" s="28" t="n">
        <v>457179.98</v>
      </c>
      <c r="G60" s="28" t="n">
        <v>457179.98</v>
      </c>
      <c r="H60" s="37" t="n">
        <v>-42820.02</v>
      </c>
      <c r="I60" s="38" t="n">
        <v>-0.08560000000000001</v>
      </c>
      <c r="J60" s="27" t="inlineStr">
        <is>
          <t>ซื้อ</t>
        </is>
      </c>
      <c r="K60" s="27" t="n">
        <v>0</v>
      </c>
      <c r="L60" s="27" t="n">
        <v>0</v>
      </c>
      <c r="M60" s="27" t="n">
        <v>15</v>
      </c>
    </row>
    <row r="61">
      <c r="A61" s="32" t="n">
        <v>60</v>
      </c>
      <c r="B61" s="32" t="inlineStr">
        <is>
          <t>2026-06-16</t>
        </is>
      </c>
      <c r="C61" s="33" t="n">
        <v>66877.03999999999</v>
      </c>
      <c r="D61" s="33" t="n">
        <v>0</v>
      </c>
      <c r="E61" s="34" t="n">
        <v>6.858916</v>
      </c>
      <c r="F61" s="33" t="n">
        <v>458704.05</v>
      </c>
      <c r="G61" s="33" t="n">
        <v>458704.05</v>
      </c>
      <c r="H61" s="39" t="n">
        <v>-41295.95</v>
      </c>
      <c r="I61" s="40" t="n">
        <v>-0.08259999999999999</v>
      </c>
      <c r="J61" s="32" t="inlineStr">
        <is>
          <t>ขาย</t>
        </is>
      </c>
      <c r="K61" s="32" t="n">
        <v>0</v>
      </c>
      <c r="L61" s="32" t="n">
        <v>0</v>
      </c>
      <c r="M61" s="32" t="n">
        <v>15</v>
      </c>
    </row>
    <row r="62">
      <c r="A62" s="27" t="n">
        <v>61</v>
      </c>
      <c r="B62" s="27" t="inlineStr">
        <is>
          <t>2026-06-17</t>
        </is>
      </c>
      <c r="C62" s="28" t="n">
        <v>66889.91</v>
      </c>
      <c r="D62" s="28" t="n">
        <v>0</v>
      </c>
      <c r="E62" s="29" t="n">
        <v>6.858916</v>
      </c>
      <c r="F62" s="28" t="n">
        <v>458792.32</v>
      </c>
      <c r="G62" s="28" t="n">
        <v>458792.32</v>
      </c>
      <c r="H62" s="37" t="n">
        <v>-41207.68</v>
      </c>
      <c r="I62" s="38" t="n">
        <v>-0.0824</v>
      </c>
      <c r="J62" s="27" t="inlineStr">
        <is>
          <t>ขาย</t>
        </is>
      </c>
      <c r="K62" s="27" t="n">
        <v>0</v>
      </c>
      <c r="L62" s="27" t="n">
        <v>0</v>
      </c>
      <c r="M62" s="27" t="n">
        <v>15</v>
      </c>
    </row>
    <row r="63">
      <c r="A63" s="32" t="n">
        <v>62</v>
      </c>
      <c r="B63" s="32" t="inlineStr">
        <is>
          <t>2026-06-18</t>
        </is>
      </c>
      <c r="C63" s="33" t="n">
        <v>66715.89999999999</v>
      </c>
      <c r="D63" s="33" t="n">
        <v>0</v>
      </c>
      <c r="E63" s="34" t="n">
        <v>6.858916</v>
      </c>
      <c r="F63" s="33" t="n">
        <v>457598.81</v>
      </c>
      <c r="G63" s="33" t="n">
        <v>457598.81</v>
      </c>
      <c r="H63" s="39" t="n">
        <v>-42401.19</v>
      </c>
      <c r="I63" s="40" t="n">
        <v>-0.0848</v>
      </c>
      <c r="J63" s="32" t="inlineStr">
        <is>
          <t>ถือ</t>
        </is>
      </c>
      <c r="K63" s="32" t="n">
        <v>0</v>
      </c>
      <c r="L63" s="32" t="n">
        <v>0</v>
      </c>
      <c r="M63" s="32" t="n">
        <v>15</v>
      </c>
    </row>
    <row r="64">
      <c r="A64" s="27" t="n">
        <v>63</v>
      </c>
      <c r="B64" s="27" t="inlineStr">
        <is>
          <t>2026-06-19</t>
        </is>
      </c>
      <c r="C64" s="28" t="n">
        <v>64807.37</v>
      </c>
      <c r="D64" s="28" t="n">
        <v>0</v>
      </c>
      <c r="E64" s="29" t="n">
        <v>6.858916</v>
      </c>
      <c r="F64" s="28" t="n">
        <v>444508.36</v>
      </c>
      <c r="G64" s="28" t="n">
        <v>444508.36</v>
      </c>
      <c r="H64" s="37" t="n">
        <v>-55491.64</v>
      </c>
      <c r="I64" s="38" t="n">
        <v>-0.111</v>
      </c>
      <c r="J64" s="27" t="inlineStr">
        <is>
          <t>ขาย</t>
        </is>
      </c>
      <c r="K64" s="27" t="n">
        <v>0</v>
      </c>
      <c r="L64" s="27" t="n">
        <v>0</v>
      </c>
      <c r="M64" s="27" t="n">
        <v>15</v>
      </c>
    </row>
    <row r="65">
      <c r="A65" s="32" t="n">
        <v>64</v>
      </c>
      <c r="B65" s="32" t="inlineStr">
        <is>
          <t>2026-06-20</t>
        </is>
      </c>
      <c r="C65" s="33" t="n">
        <v>64807.37</v>
      </c>
      <c r="D65" s="33" t="n">
        <v>0</v>
      </c>
      <c r="E65" s="34" t="n">
        <v>6.858916</v>
      </c>
      <c r="F65" s="33" t="n">
        <v>444508.36</v>
      </c>
      <c r="G65" s="33" t="n">
        <v>444508.36</v>
      </c>
      <c r="H65" s="39" t="n">
        <v>-55491.64</v>
      </c>
      <c r="I65" s="40" t="n">
        <v>-0.111</v>
      </c>
      <c r="J65" s="32" t="inlineStr">
        <is>
          <t>ขาย</t>
        </is>
      </c>
      <c r="K65" s="32" t="n">
        <v>0</v>
      </c>
      <c r="L65" s="32" t="n">
        <v>0</v>
      </c>
      <c r="M65" s="32" t="n">
        <v>15</v>
      </c>
    </row>
    <row r="66">
      <c r="A66" s="27" t="n">
        <v>65</v>
      </c>
      <c r="B66" s="27" t="inlineStr">
        <is>
          <t>2026-06-21</t>
        </is>
      </c>
      <c r="C66" s="28" t="n">
        <v>64807.37</v>
      </c>
      <c r="D66" s="28" t="n">
        <v>0</v>
      </c>
      <c r="E66" s="29" t="n">
        <v>6.858916</v>
      </c>
      <c r="F66" s="28" t="n">
        <v>444508.36</v>
      </c>
      <c r="G66" s="28" t="n">
        <v>444508.36</v>
      </c>
      <c r="H66" s="37" t="n">
        <v>-55491.64</v>
      </c>
      <c r="I66" s="38" t="n">
        <v>-0.111</v>
      </c>
      <c r="J66" s="27" t="inlineStr">
        <is>
          <t>ขาย</t>
        </is>
      </c>
      <c r="K66" s="27" t="n">
        <v>0</v>
      </c>
      <c r="L66" s="27" t="n">
        <v>0</v>
      </c>
      <c r="M66" s="27" t="n">
        <v>15</v>
      </c>
    </row>
    <row r="67">
      <c r="A67" s="32" t="n">
        <v>66</v>
      </c>
      <c r="B67" s="32" t="inlineStr">
        <is>
          <t>2026-06-22</t>
        </is>
      </c>
      <c r="C67" s="33" t="n">
        <v>65592.41</v>
      </c>
      <c r="D67" s="33" t="n">
        <v>0</v>
      </c>
      <c r="E67" s="34" t="n">
        <v>6.858916</v>
      </c>
      <c r="F67" s="33" t="n">
        <v>449892.85</v>
      </c>
      <c r="G67" s="33" t="n">
        <v>449892.85</v>
      </c>
      <c r="H67" s="39" t="n">
        <v>-50107.15</v>
      </c>
      <c r="I67" s="40" t="n">
        <v>-0.1002</v>
      </c>
      <c r="J67" s="32" t="inlineStr">
        <is>
          <t>ถือ</t>
        </is>
      </c>
      <c r="K67" s="32" t="n">
        <v>0</v>
      </c>
      <c r="L67" s="32" t="n">
        <v>0</v>
      </c>
      <c r="M67" s="32" t="n">
        <v>15</v>
      </c>
    </row>
    <row r="68">
      <c r="A68" s="27" t="n">
        <v>67</v>
      </c>
      <c r="B68" s="27" t="inlineStr">
        <is>
          <t>2026-06-23</t>
        </is>
      </c>
      <c r="C68" s="28" t="n">
        <v>64873.14</v>
      </c>
      <c r="D68" s="28" t="n">
        <v>0</v>
      </c>
      <c r="E68" s="29" t="n">
        <v>6.858916</v>
      </c>
      <c r="F68" s="28" t="n">
        <v>444959.44</v>
      </c>
      <c r="G68" s="28" t="n">
        <v>444959.44</v>
      </c>
      <c r="H68" s="37" t="n">
        <v>-55040.56</v>
      </c>
      <c r="I68" s="38" t="n">
        <v>-0.1101</v>
      </c>
      <c r="J68" s="27" t="inlineStr">
        <is>
          <t>ขาย</t>
        </is>
      </c>
      <c r="K68" s="27" t="n">
        <v>0</v>
      </c>
      <c r="L68" s="27" t="n">
        <v>0</v>
      </c>
      <c r="M68" s="27" t="n">
        <v>15</v>
      </c>
    </row>
    <row r="69">
      <c r="A69" s="32" t="n">
        <v>68</v>
      </c>
      <c r="B69" s="32" t="inlineStr">
        <is>
          <t>2026-06-24</t>
        </is>
      </c>
      <c r="C69" s="33" t="n">
        <v>64470.66</v>
      </c>
      <c r="D69" s="33" t="n">
        <v>0</v>
      </c>
      <c r="E69" s="34" t="n">
        <v>6.858916</v>
      </c>
      <c r="F69" s="33" t="n">
        <v>442198.84</v>
      </c>
      <c r="G69" s="33" t="n">
        <v>442198.84</v>
      </c>
      <c r="H69" s="39" t="n">
        <v>-57801.16</v>
      </c>
      <c r="I69" s="40" t="n">
        <v>-0.1156</v>
      </c>
      <c r="J69" s="32" t="inlineStr">
        <is>
          <t>ขาย</t>
        </is>
      </c>
      <c r="K69" s="32" t="n">
        <v>0</v>
      </c>
      <c r="L69" s="32" t="n">
        <v>0</v>
      </c>
      <c r="M69" s="32" t="n">
        <v>15</v>
      </c>
    </row>
    <row r="70">
      <c r="A70" s="27" t="n">
        <v>69</v>
      </c>
      <c r="B70" s="27" t="inlineStr">
        <is>
          <t>2026-06-25</t>
        </is>
      </c>
      <c r="C70" s="28" t="n">
        <v>63115.42</v>
      </c>
      <c r="D70" s="28" t="n">
        <v>0</v>
      </c>
      <c r="E70" s="29" t="n">
        <v>6.858916</v>
      </c>
      <c r="F70" s="28" t="n">
        <v>432903.37</v>
      </c>
      <c r="G70" s="28" t="n">
        <v>432903.37</v>
      </c>
      <c r="H70" s="37" t="n">
        <v>-67096.63</v>
      </c>
      <c r="I70" s="38" t="n">
        <v>-0.1342</v>
      </c>
      <c r="J70" s="27" t="inlineStr">
        <is>
          <t>ถือ</t>
        </is>
      </c>
      <c r="K70" s="27" t="n">
        <v>0</v>
      </c>
      <c r="L70" s="27" t="n">
        <v>0</v>
      </c>
      <c r="M70" s="27" t="n">
        <v>15</v>
      </c>
    </row>
    <row r="71">
      <c r="A71" s="32" t="n">
        <v>70</v>
      </c>
      <c r="B71" s="32" t="inlineStr">
        <is>
          <t>2026-06-26</t>
        </is>
      </c>
      <c r="C71" s="33" t="n">
        <v>63720.77</v>
      </c>
      <c r="D71" s="33" t="n">
        <v>0</v>
      </c>
      <c r="E71" s="34" t="n">
        <v>6.858916</v>
      </c>
      <c r="F71" s="33" t="n">
        <v>437055.45</v>
      </c>
      <c r="G71" s="33" t="n">
        <v>437055.45</v>
      </c>
      <c r="H71" s="39" t="n">
        <v>-62944.55</v>
      </c>
      <c r="I71" s="40" t="n">
        <v>-0.1259</v>
      </c>
      <c r="J71" s="32" t="inlineStr">
        <is>
          <t>ซื้อ</t>
        </is>
      </c>
      <c r="K71" s="32" t="n">
        <v>0</v>
      </c>
      <c r="L71" s="32" t="n">
        <v>0</v>
      </c>
      <c r="M71" s="32" t="n">
        <v>15</v>
      </c>
    </row>
    <row r="72">
      <c r="A72" s="27" t="n">
        <v>71</v>
      </c>
      <c r="B72" s="27" t="inlineStr">
        <is>
          <t>2026-06-27</t>
        </is>
      </c>
      <c r="C72" s="28" t="n">
        <v>64619.37</v>
      </c>
      <c r="D72" s="28" t="n">
        <v>0</v>
      </c>
      <c r="E72" s="29" t="n">
        <v>6.858916</v>
      </c>
      <c r="F72" s="28" t="n">
        <v>443218.87</v>
      </c>
      <c r="G72" s="28" t="n">
        <v>443218.87</v>
      </c>
      <c r="H72" s="37" t="n">
        <v>-56781.13</v>
      </c>
      <c r="I72" s="38" t="n">
        <v>-0.1136</v>
      </c>
      <c r="J72" s="27" t="inlineStr">
        <is>
          <t>ซื้อ</t>
        </is>
      </c>
      <c r="K72" s="27" t="n">
        <v>0</v>
      </c>
      <c r="L72" s="27" t="n">
        <v>0</v>
      </c>
      <c r="M72" s="27" t="n">
        <v>15</v>
      </c>
    </row>
    <row r="73">
      <c r="A73" s="32" t="n">
        <v>72</v>
      </c>
      <c r="B73" s="32" t="inlineStr">
        <is>
          <t>2026-06-28</t>
        </is>
      </c>
      <c r="C73" s="33" t="n">
        <v>64513.85</v>
      </c>
      <c r="D73" s="33" t="n">
        <v>0</v>
      </c>
      <c r="E73" s="34" t="n">
        <v>6.858916</v>
      </c>
      <c r="F73" s="33" t="n">
        <v>442495.1</v>
      </c>
      <c r="G73" s="33" t="n">
        <v>442495.1</v>
      </c>
      <c r="H73" s="39" t="n">
        <v>-57504.9</v>
      </c>
      <c r="I73" s="40" t="n">
        <v>-0.115</v>
      </c>
      <c r="J73" s="32" t="inlineStr">
        <is>
          <t>ซื้อ</t>
        </is>
      </c>
      <c r="K73" s="32" t="n">
        <v>0</v>
      </c>
      <c r="L73" s="32" t="n">
        <v>0</v>
      </c>
      <c r="M73" s="32" t="n">
        <v>15</v>
      </c>
    </row>
    <row r="74">
      <c r="A74" s="27" t="n">
        <v>73</v>
      </c>
      <c r="B74" s="27" t="inlineStr">
        <is>
          <t>2026-06-29</t>
        </is>
      </c>
      <c r="C74" s="28" t="n">
        <v>64203.97</v>
      </c>
      <c r="D74" s="28" t="n">
        <v>0</v>
      </c>
      <c r="E74" s="29" t="n">
        <v>6.858916</v>
      </c>
      <c r="F74" s="28" t="n">
        <v>440369.65</v>
      </c>
      <c r="G74" s="28" t="n">
        <v>440369.65</v>
      </c>
      <c r="H74" s="37" t="n">
        <v>-59630.35</v>
      </c>
      <c r="I74" s="38" t="n">
        <v>-0.1193</v>
      </c>
      <c r="J74" s="27" t="inlineStr">
        <is>
          <t>ถือ</t>
        </is>
      </c>
      <c r="K74" s="27" t="n">
        <v>0</v>
      </c>
      <c r="L74" s="27" t="n">
        <v>0</v>
      </c>
      <c r="M74" s="27" t="n">
        <v>15</v>
      </c>
    </row>
    <row r="75">
      <c r="A75" s="32" t="n">
        <v>74</v>
      </c>
      <c r="B75" s="32" t="inlineStr">
        <is>
          <t>2026-06-30</t>
        </is>
      </c>
      <c r="C75" s="33" t="n">
        <v>62742.16</v>
      </c>
      <c r="D75" s="33" t="n">
        <v>0</v>
      </c>
      <c r="E75" s="34" t="n">
        <v>6.858916</v>
      </c>
      <c r="F75" s="33" t="n">
        <v>430343.21</v>
      </c>
      <c r="G75" s="33" t="n">
        <v>430343.21</v>
      </c>
      <c r="H75" s="39" t="n">
        <v>-69656.78999999999</v>
      </c>
      <c r="I75" s="40" t="n">
        <v>-0.1393</v>
      </c>
      <c r="J75" s="32" t="inlineStr">
        <is>
          <t>ขาย</t>
        </is>
      </c>
      <c r="K75" s="32" t="n">
        <v>0</v>
      </c>
      <c r="L75" s="32" t="n">
        <v>0</v>
      </c>
      <c r="M75" s="32" t="n">
        <v>15</v>
      </c>
    </row>
    <row r="76">
      <c r="A76" s="27" t="n">
        <v>75</v>
      </c>
      <c r="B76" s="27" t="inlineStr">
        <is>
          <t>2026-07-01</t>
        </is>
      </c>
      <c r="C76" s="28" t="n">
        <v>62780.95</v>
      </c>
      <c r="D76" s="28" t="n">
        <v>0</v>
      </c>
      <c r="E76" s="29" t="n">
        <v>6.858916</v>
      </c>
      <c r="F76" s="28" t="n">
        <v>430609.31</v>
      </c>
      <c r="G76" s="28" t="n">
        <v>430609.31</v>
      </c>
      <c r="H76" s="37" t="n">
        <v>-69390.69</v>
      </c>
      <c r="I76" s="38" t="n">
        <v>-0.1388</v>
      </c>
      <c r="J76" s="27" t="inlineStr">
        <is>
          <t>ขาย</t>
        </is>
      </c>
      <c r="K76" s="27" t="n">
        <v>0</v>
      </c>
      <c r="L76" s="27" t="n">
        <v>0</v>
      </c>
      <c r="M76" s="27" t="n">
        <v>15</v>
      </c>
    </row>
    <row r="77">
      <c r="A77" s="32" t="n">
        <v>76</v>
      </c>
      <c r="B77" s="32" t="inlineStr">
        <is>
          <t>2026-07-02</t>
        </is>
      </c>
      <c r="C77" s="33" t="n">
        <v>64173.29</v>
      </c>
      <c r="D77" s="33" t="n">
        <v>0</v>
      </c>
      <c r="E77" s="34" t="n">
        <v>6.858916</v>
      </c>
      <c r="F77" s="33" t="n">
        <v>440159.24</v>
      </c>
      <c r="G77" s="33" t="n">
        <v>440159.24</v>
      </c>
      <c r="H77" s="39" t="n">
        <v>-59840.76</v>
      </c>
      <c r="I77" s="40" t="n">
        <v>-0.1197</v>
      </c>
      <c r="J77" s="32" t="inlineStr">
        <is>
          <t>ถือ</t>
        </is>
      </c>
      <c r="K77" s="32" t="n">
        <v>0</v>
      </c>
      <c r="L77" s="32" t="n">
        <v>0</v>
      </c>
      <c r="M77" s="32" t="n">
        <v>15</v>
      </c>
    </row>
    <row r="78">
      <c r="A78" s="27" t="n">
        <v>77</v>
      </c>
      <c r="B78" s="27" t="inlineStr">
        <is>
          <t>2026-07-03</t>
        </is>
      </c>
      <c r="C78" s="28" t="n">
        <v>65688.60000000001</v>
      </c>
      <c r="D78" s="28" t="n">
        <v>0</v>
      </c>
      <c r="E78" s="29" t="n">
        <v>6.858916</v>
      </c>
      <c r="F78" s="28" t="n">
        <v>450552.64</v>
      </c>
      <c r="G78" s="28" t="n">
        <v>450552.64</v>
      </c>
      <c r="H78" s="37" t="n">
        <v>-49447.36</v>
      </c>
      <c r="I78" s="38" t="n">
        <v>-0.0989</v>
      </c>
      <c r="J78" s="27" t="inlineStr">
        <is>
          <t>ซื้อ</t>
        </is>
      </c>
      <c r="K78" s="27" t="n">
        <v>0</v>
      </c>
      <c r="L78" s="27" t="n">
        <v>0</v>
      </c>
      <c r="M78" s="27" t="n">
        <v>15</v>
      </c>
    </row>
    <row r="79">
      <c r="A79" s="32" t="n">
        <v>78</v>
      </c>
      <c r="B79" s="32" t="inlineStr">
        <is>
          <t>2026-07-04</t>
        </is>
      </c>
      <c r="C79" s="33" t="n">
        <v>65688.60000000001</v>
      </c>
      <c r="D79" s="33" t="n">
        <v>0</v>
      </c>
      <c r="E79" s="34" t="n">
        <v>6.858916</v>
      </c>
      <c r="F79" s="33" t="n">
        <v>450552.64</v>
      </c>
      <c r="G79" s="33" t="n">
        <v>450552.64</v>
      </c>
      <c r="H79" s="39" t="n">
        <v>-49447.36</v>
      </c>
      <c r="I79" s="40" t="n">
        <v>-0.0989</v>
      </c>
      <c r="J79" s="32" t="inlineStr">
        <is>
          <t>ซื้อ</t>
        </is>
      </c>
      <c r="K79" s="32" t="n">
        <v>0</v>
      </c>
      <c r="L79" s="32" t="n">
        <v>0</v>
      </c>
      <c r="M79" s="32" t="n">
        <v>15</v>
      </c>
    </row>
    <row r="80">
      <c r="A80" s="27" t="n">
        <v>79</v>
      </c>
      <c r="B80" s="27" t="inlineStr">
        <is>
          <t>2026-07-05</t>
        </is>
      </c>
      <c r="C80" s="28" t="n">
        <v>65688.60000000001</v>
      </c>
      <c r="D80" s="28" t="n">
        <v>0</v>
      </c>
      <c r="E80" s="29" t="n">
        <v>6.858916</v>
      </c>
      <c r="F80" s="28" t="n">
        <v>450552.64</v>
      </c>
      <c r="G80" s="28" t="n">
        <v>450552.64</v>
      </c>
      <c r="H80" s="37" t="n">
        <v>-49447.36</v>
      </c>
      <c r="I80" s="38" t="n">
        <v>-0.0989</v>
      </c>
      <c r="J80" s="27" t="inlineStr">
        <is>
          <t>ซื้อ</t>
        </is>
      </c>
      <c r="K80" s="27" t="n">
        <v>0</v>
      </c>
      <c r="L80" s="27" t="n">
        <v>0</v>
      </c>
      <c r="M80" s="27" t="n">
        <v>15</v>
      </c>
    </row>
    <row r="81">
      <c r="A81" s="32" t="n">
        <v>80</v>
      </c>
      <c r="B81" s="32" t="inlineStr">
        <is>
          <t>2026-07-06</t>
        </is>
      </c>
      <c r="C81" s="33" t="n">
        <v>65509.21</v>
      </c>
      <c r="D81" s="33" t="n">
        <v>0</v>
      </c>
      <c r="E81" s="34" t="n">
        <v>6.858916</v>
      </c>
      <c r="F81" s="33" t="n">
        <v>449322.2</v>
      </c>
      <c r="G81" s="33" t="n">
        <v>449322.2</v>
      </c>
      <c r="H81" s="39" t="n">
        <v>-50677.8</v>
      </c>
      <c r="I81" s="40" t="n">
        <v>-0.1014</v>
      </c>
      <c r="J81" s="32" t="inlineStr">
        <is>
          <t>ถือ</t>
        </is>
      </c>
      <c r="K81" s="32" t="n">
        <v>0</v>
      </c>
      <c r="L81" s="32" t="n">
        <v>0</v>
      </c>
      <c r="M81" s="32" t="n">
        <v>15</v>
      </c>
    </row>
    <row r="82">
      <c r="A82" s="27" t="n">
        <v>81</v>
      </c>
      <c r="B82" s="27" t="inlineStr">
        <is>
          <t>2026-07-07</t>
        </is>
      </c>
      <c r="C82" s="28" t="n">
        <v>65191.48</v>
      </c>
      <c r="D82" s="28" t="n">
        <v>0</v>
      </c>
      <c r="E82" s="29" t="n">
        <v>6.858916</v>
      </c>
      <c r="F82" s="28" t="n">
        <v>447142.94</v>
      </c>
      <c r="G82" s="28" t="n">
        <v>447142.94</v>
      </c>
      <c r="H82" s="37" t="n">
        <v>-52857.06</v>
      </c>
      <c r="I82" s="38" t="n">
        <v>-0.1057</v>
      </c>
      <c r="J82" s="27" t="inlineStr">
        <is>
          <t>ขาย</t>
        </is>
      </c>
      <c r="K82" s="27" t="n">
        <v>0</v>
      </c>
      <c r="L82" s="27" t="n">
        <v>0</v>
      </c>
      <c r="M82" s="27" t="n">
        <v>15</v>
      </c>
    </row>
    <row r="83">
      <c r="A83" s="32" t="n">
        <v>82</v>
      </c>
      <c r="B83" s="32" t="inlineStr">
        <is>
          <t>2026-07-08</t>
        </is>
      </c>
      <c r="C83" s="33" t="n">
        <v>65302.22</v>
      </c>
      <c r="D83" s="33" t="n">
        <v>0</v>
      </c>
      <c r="E83" s="34" t="n">
        <v>6.858916</v>
      </c>
      <c r="F83" s="33" t="n">
        <v>447902.49</v>
      </c>
      <c r="G83" s="33" t="n">
        <v>447902.49</v>
      </c>
      <c r="H83" s="39" t="n">
        <v>-52097.51</v>
      </c>
      <c r="I83" s="40" t="n">
        <v>-0.1042</v>
      </c>
      <c r="J83" s="32" t="inlineStr">
        <is>
          <t>ถือ</t>
        </is>
      </c>
      <c r="K83" s="32" t="n">
        <v>0</v>
      </c>
      <c r="L83" s="32" t="n">
        <v>0</v>
      </c>
      <c r="M83" s="32" t="n">
        <v>15</v>
      </c>
    </row>
    <row r="84">
      <c r="A84" s="27" t="n">
        <v>83</v>
      </c>
      <c r="B84" s="27" t="inlineStr">
        <is>
          <t>2026-07-09</t>
        </is>
      </c>
      <c r="C84" s="28" t="n">
        <v>64521.19</v>
      </c>
      <c r="D84" s="28" t="n">
        <v>0</v>
      </c>
      <c r="E84" s="29" t="n">
        <v>6.858916</v>
      </c>
      <c r="F84" s="28" t="n">
        <v>442545.46</v>
      </c>
      <c r="G84" s="28" t="n">
        <v>442545.46</v>
      </c>
      <c r="H84" s="37" t="n">
        <v>-57454.54</v>
      </c>
      <c r="I84" s="38" t="n">
        <v>-0.1149</v>
      </c>
      <c r="J84" s="27" t="inlineStr">
        <is>
          <t>ถือ</t>
        </is>
      </c>
      <c r="K84" s="27" t="n">
        <v>0</v>
      </c>
      <c r="L84" s="27" t="n">
        <v>0</v>
      </c>
      <c r="M84" s="27" t="n">
        <v>15</v>
      </c>
    </row>
    <row r="85">
      <c r="A85" s="32" t="n">
        <v>84</v>
      </c>
      <c r="B85" s="32" t="inlineStr">
        <is>
          <t>2026-07-10</t>
        </is>
      </c>
      <c r="C85" s="33" t="n">
        <v>64903.45</v>
      </c>
      <c r="D85" s="33" t="n">
        <v>0</v>
      </c>
      <c r="E85" s="34" t="n">
        <v>6.858916</v>
      </c>
      <c r="F85" s="33" t="n">
        <v>445167.31</v>
      </c>
      <c r="G85" s="33" t="n">
        <v>445167.31</v>
      </c>
      <c r="H85" s="39" t="n">
        <v>-54832.69</v>
      </c>
      <c r="I85" s="40" t="n">
        <v>-0.1097</v>
      </c>
      <c r="J85" s="32" t="inlineStr">
        <is>
          <t>ถือ</t>
        </is>
      </c>
      <c r="K85" s="32" t="n">
        <v>0</v>
      </c>
      <c r="L85" s="32" t="n">
        <v>0</v>
      </c>
      <c r="M85" s="32" t="n">
        <v>15</v>
      </c>
    </row>
    <row r="86">
      <c r="A86" s="27" t="n">
        <v>85</v>
      </c>
      <c r="B86" s="27" t="inlineStr">
        <is>
          <t>2026-07-11</t>
        </is>
      </c>
      <c r="C86" s="28" t="n">
        <v>64890.58</v>
      </c>
      <c r="D86" s="28" t="n">
        <v>0</v>
      </c>
      <c r="E86" s="29" t="n">
        <v>6.858916</v>
      </c>
      <c r="F86" s="28" t="n">
        <v>445079.09</v>
      </c>
      <c r="G86" s="28" t="n">
        <v>445079.09</v>
      </c>
      <c r="H86" s="37" t="n">
        <v>-54920.91</v>
      </c>
      <c r="I86" s="38" t="n">
        <v>-0.1098</v>
      </c>
      <c r="J86" s="27" t="inlineStr">
        <is>
          <t>ถือ</t>
        </is>
      </c>
      <c r="K86" s="27" t="n">
        <v>0</v>
      </c>
      <c r="L86" s="27" t="n">
        <v>0</v>
      </c>
      <c r="M86" s="27" t="n">
        <v>15</v>
      </c>
    </row>
    <row r="87">
      <c r="A87" s="32" t="n">
        <v>86</v>
      </c>
      <c r="B87" s="32" t="inlineStr">
        <is>
          <t>2026-07-12</t>
        </is>
      </c>
      <c r="C87" s="33" t="n">
        <v>64651.7</v>
      </c>
      <c r="D87" s="33" t="n">
        <v>0</v>
      </c>
      <c r="E87" s="34" t="n">
        <v>6.858916</v>
      </c>
      <c r="F87" s="33" t="n">
        <v>443440.62</v>
      </c>
      <c r="G87" s="33" t="n">
        <v>443440.62</v>
      </c>
      <c r="H87" s="39" t="n">
        <v>-56559.38</v>
      </c>
      <c r="I87" s="40" t="n">
        <v>-0.1131</v>
      </c>
      <c r="J87" s="32" t="inlineStr">
        <is>
          <t>ขาย</t>
        </is>
      </c>
      <c r="K87" s="32" t="n">
        <v>0</v>
      </c>
      <c r="L87" s="32" t="n">
        <v>0</v>
      </c>
      <c r="M87" s="32" t="n">
        <v>15</v>
      </c>
    </row>
    <row r="88">
      <c r="A88" s="27" t="n">
        <v>87</v>
      </c>
      <c r="B88" s="27" t="inlineStr">
        <is>
          <t>2026-07-13</t>
        </is>
      </c>
      <c r="C88" s="28" t="n">
        <v>64268.79</v>
      </c>
      <c r="D88" s="28" t="n">
        <v>0</v>
      </c>
      <c r="E88" s="29" t="n">
        <v>6.858916</v>
      </c>
      <c r="F88" s="28" t="n">
        <v>440814.23</v>
      </c>
      <c r="G88" s="28" t="n">
        <v>440814.23</v>
      </c>
      <c r="H88" s="37" t="n">
        <v>-59185.77</v>
      </c>
      <c r="I88" s="38" t="n">
        <v>-0.1184</v>
      </c>
      <c r="J88" s="27" t="inlineStr">
        <is>
          <t>ขาย</t>
        </is>
      </c>
      <c r="K88" s="27" t="n">
        <v>0</v>
      </c>
      <c r="L88" s="27" t="n">
        <v>0</v>
      </c>
      <c r="M88" s="27" t="n">
        <v>15</v>
      </c>
    </row>
    <row r="89">
      <c r="A89" s="32" t="n">
        <v>88</v>
      </c>
      <c r="B89" s="32" t="inlineStr">
        <is>
          <t>2026-07-14</t>
        </is>
      </c>
      <c r="C89" s="33" t="n">
        <v>63785.84</v>
      </c>
      <c r="D89" s="33" t="n">
        <v>0</v>
      </c>
      <c r="E89" s="34" t="n">
        <v>6.858916</v>
      </c>
      <c r="F89" s="33" t="n">
        <v>437501.71</v>
      </c>
      <c r="G89" s="33" t="n">
        <v>437501.71</v>
      </c>
      <c r="H89" s="39" t="n">
        <v>-62498.29</v>
      </c>
      <c r="I89" s="40" t="n">
        <v>-0.125</v>
      </c>
      <c r="J89" s="32" t="inlineStr">
        <is>
          <t>ถือ</t>
        </is>
      </c>
      <c r="K89" s="32" t="n">
        <v>0</v>
      </c>
      <c r="L89" s="32" t="n">
        <v>0</v>
      </c>
      <c r="M89" s="32" t="n">
        <v>15</v>
      </c>
    </row>
    <row r="90">
      <c r="A90" s="27" t="n">
        <v>89</v>
      </c>
      <c r="B90" s="27" t="inlineStr">
        <is>
          <t>2026-07-15</t>
        </is>
      </c>
      <c r="C90" s="28" t="n">
        <v>64023.57</v>
      </c>
      <c r="D90" s="28" t="n">
        <v>0</v>
      </c>
      <c r="E90" s="29" t="n">
        <v>6.858916</v>
      </c>
      <c r="F90" s="28" t="n">
        <v>439132.32</v>
      </c>
      <c r="G90" s="28" t="n">
        <v>439132.32</v>
      </c>
      <c r="H90" s="37" t="n">
        <v>-60867.68</v>
      </c>
      <c r="I90" s="38" t="n">
        <v>-0.1217</v>
      </c>
      <c r="J90" s="27" t="inlineStr">
        <is>
          <t>ถือ</t>
        </is>
      </c>
      <c r="K90" s="27" t="n">
        <v>0</v>
      </c>
      <c r="L90" s="27" t="n">
        <v>0</v>
      </c>
      <c r="M90" s="27" t="n">
        <v>15</v>
      </c>
    </row>
    <row r="91">
      <c r="A91" s="32" t="n">
        <v>90</v>
      </c>
      <c r="B91" s="32" t="inlineStr">
        <is>
          <t>2026-07-16</t>
        </is>
      </c>
      <c r="C91" s="33" t="n">
        <v>64092.21</v>
      </c>
      <c r="D91" s="33" t="n">
        <v>0</v>
      </c>
      <c r="E91" s="34" t="n">
        <v>6.858916</v>
      </c>
      <c r="F91" s="33" t="n">
        <v>439603.14</v>
      </c>
      <c r="G91" s="33" t="n">
        <v>439603.14</v>
      </c>
      <c r="H91" s="39" t="n">
        <v>-60396.86</v>
      </c>
      <c r="I91" s="40" t="n">
        <v>-0.1208</v>
      </c>
      <c r="J91" s="32" t="inlineStr">
        <is>
          <t>ถือ</t>
        </is>
      </c>
      <c r="K91" s="32" t="n">
        <v>0</v>
      </c>
      <c r="L91" s="32" t="n">
        <v>0</v>
      </c>
      <c r="M91" s="32" t="n">
        <v>15</v>
      </c>
    </row>
    <row r="92">
      <c r="A92" s="27" t="n">
        <v>91</v>
      </c>
      <c r="B92" s="27" t="inlineStr">
        <is>
          <t>2026-07-17</t>
        </is>
      </c>
      <c r="C92" s="28" t="n">
        <v>63350.2</v>
      </c>
      <c r="D92" s="28" t="n">
        <v>0</v>
      </c>
      <c r="E92" s="29" t="n">
        <v>6.858916</v>
      </c>
      <c r="F92" s="28" t="n">
        <v>434513.76</v>
      </c>
      <c r="G92" s="28" t="n">
        <v>434513.76</v>
      </c>
      <c r="H92" s="37" t="n">
        <v>-65486.24</v>
      </c>
      <c r="I92" s="38" t="n">
        <v>-0.131</v>
      </c>
      <c r="J92" s="27" t="inlineStr">
        <is>
          <t>ถือ</t>
        </is>
      </c>
      <c r="K92" s="27" t="n">
        <v>0</v>
      </c>
      <c r="L92" s="27" t="n">
        <v>0</v>
      </c>
      <c r="M92" s="27" t="n">
        <v>15</v>
      </c>
    </row>
    <row r="93">
      <c r="A93" s="32" t="n">
        <v>92</v>
      </c>
      <c r="B93" s="32" t="inlineStr">
        <is>
          <t>2026-07-18</t>
        </is>
      </c>
      <c r="C93" s="33" t="n">
        <v>63873.15</v>
      </c>
      <c r="D93" s="33" t="n">
        <v>0</v>
      </c>
      <c r="E93" s="34" t="n">
        <v>6.858916</v>
      </c>
      <c r="F93" s="33" t="n">
        <v>438100.63</v>
      </c>
      <c r="G93" s="33" t="n">
        <v>438100.63</v>
      </c>
      <c r="H93" s="39" t="n">
        <v>-61899.37</v>
      </c>
      <c r="I93" s="40" t="n">
        <v>-0.1238</v>
      </c>
      <c r="J93" s="32" t="inlineStr">
        <is>
          <t>ซื้อ</t>
        </is>
      </c>
      <c r="K93" s="32" t="n">
        <v>0</v>
      </c>
      <c r="L93" s="32" t="n">
        <v>0</v>
      </c>
      <c r="M93" s="32" t="n">
        <v>15</v>
      </c>
    </row>
    <row r="94">
      <c r="A94" s="27" t="n">
        <v>93</v>
      </c>
      <c r="B94" s="27" t="inlineStr">
        <is>
          <t>2026-07-19</t>
        </is>
      </c>
      <c r="C94" s="28" t="n">
        <v>63806.47</v>
      </c>
      <c r="D94" s="28" t="n">
        <v>0</v>
      </c>
      <c r="E94" s="29" t="n">
        <v>6.858916</v>
      </c>
      <c r="F94" s="28" t="n">
        <v>437643.26</v>
      </c>
      <c r="G94" s="28" t="n">
        <v>437643.26</v>
      </c>
      <c r="H94" s="37" t="n">
        <v>-62356.74</v>
      </c>
      <c r="I94" s="38" t="n">
        <v>-0.1247</v>
      </c>
      <c r="J94" s="27" t="inlineStr">
        <is>
          <t>ซื้อ</t>
        </is>
      </c>
      <c r="K94" s="27" t="n">
        <v>0</v>
      </c>
      <c r="L94" s="27" t="n">
        <v>0</v>
      </c>
      <c r="M94" s="27" t="n">
        <v>15</v>
      </c>
    </row>
    <row r="95">
      <c r="A95" s="32" t="n">
        <v>94</v>
      </c>
      <c r="B95" s="32" t="inlineStr">
        <is>
          <t>2026-07-20</t>
        </is>
      </c>
      <c r="C95" s="33" t="n">
        <v>63902.93</v>
      </c>
      <c r="D95" s="33" t="n">
        <v>0</v>
      </c>
      <c r="E95" s="34" t="n">
        <v>6.858916</v>
      </c>
      <c r="F95" s="33" t="n">
        <v>438304.83</v>
      </c>
      <c r="G95" s="33" t="n">
        <v>438304.83</v>
      </c>
      <c r="H95" s="39" t="n">
        <v>-61695.17</v>
      </c>
      <c r="I95" s="40" t="n">
        <v>-0.1234</v>
      </c>
      <c r="J95" s="32" t="inlineStr">
        <is>
          <t>ซื้อ</t>
        </is>
      </c>
      <c r="K95" s="32" t="n">
        <v>0</v>
      </c>
      <c r="L95" s="32" t="n">
        <v>0</v>
      </c>
      <c r="M95" s="32" t="n">
        <v>15</v>
      </c>
    </row>
    <row r="96">
      <c r="A96" s="27" t="n">
        <v>95</v>
      </c>
      <c r="B96" s="27" t="inlineStr">
        <is>
          <t>2026-07-21</t>
        </is>
      </c>
      <c r="C96" s="28" t="n">
        <v>64437.27</v>
      </c>
      <c r="D96" s="28" t="n">
        <v>0</v>
      </c>
      <c r="E96" s="29" t="n">
        <v>6.858916</v>
      </c>
      <c r="F96" s="28" t="n">
        <v>441969.83</v>
      </c>
      <c r="G96" s="28" t="n">
        <v>441969.83</v>
      </c>
      <c r="H96" s="37" t="n">
        <v>-58030.17</v>
      </c>
      <c r="I96" s="38" t="n">
        <v>-0.1161</v>
      </c>
      <c r="J96" s="27" t="inlineStr">
        <is>
          <t>ซื้อ</t>
        </is>
      </c>
      <c r="K96" s="27" t="n">
        <v>0</v>
      </c>
      <c r="L96" s="27" t="n">
        <v>0</v>
      </c>
      <c r="M96" s="27" t="n">
        <v>15</v>
      </c>
    </row>
    <row r="97">
      <c r="A97" s="32" t="n">
        <v>96</v>
      </c>
      <c r="B97" s="32" t="inlineStr">
        <is>
          <t>2026-07-22</t>
        </is>
      </c>
      <c r="C97" s="33" t="n">
        <v>66015.73</v>
      </c>
      <c r="D97" s="33" t="n">
        <v>0</v>
      </c>
      <c r="E97" s="34" t="n">
        <v>6.858916</v>
      </c>
      <c r="F97" s="33" t="n">
        <v>452796.4</v>
      </c>
      <c r="G97" s="33" t="n">
        <v>452796.4</v>
      </c>
      <c r="H97" s="39" t="n">
        <v>-47203.6</v>
      </c>
      <c r="I97" s="40" t="n">
        <v>-0.0944</v>
      </c>
      <c r="J97" s="32" t="inlineStr">
        <is>
          <t>ซื้อ</t>
        </is>
      </c>
      <c r="K97" s="32" t="n">
        <v>0</v>
      </c>
      <c r="L97" s="32" t="n">
        <v>0</v>
      </c>
      <c r="M97" s="32" t="n">
        <v>15</v>
      </c>
    </row>
    <row r="98">
      <c r="A98" s="27" t="n">
        <v>97</v>
      </c>
      <c r="B98" s="27" t="inlineStr">
        <is>
          <t>2026-07-23</t>
        </is>
      </c>
      <c r="C98" s="28" t="n">
        <v>65898.77</v>
      </c>
      <c r="D98" s="28" t="n">
        <v>0</v>
      </c>
      <c r="E98" s="29" t="n">
        <v>6.858916</v>
      </c>
      <c r="F98" s="28" t="n">
        <v>451994.13</v>
      </c>
      <c r="G98" s="28" t="n">
        <v>451994.13</v>
      </c>
      <c r="H98" s="37" t="n">
        <v>-48005.87</v>
      </c>
      <c r="I98" s="38" t="n">
        <v>-0.096</v>
      </c>
      <c r="J98" s="27" t="inlineStr">
        <is>
          <t>ถือ</t>
        </is>
      </c>
      <c r="K98" s="27" t="n">
        <v>0</v>
      </c>
      <c r="L98" s="27" t="n">
        <v>0</v>
      </c>
      <c r="M98" s="27" t="n">
        <v>15</v>
      </c>
    </row>
    <row r="99">
      <c r="A99" s="32" t="n">
        <v>98</v>
      </c>
      <c r="B99" s="32" t="inlineStr">
        <is>
          <t>2026-07-24</t>
        </is>
      </c>
      <c r="C99" s="33" t="n">
        <v>64327.37</v>
      </c>
      <c r="D99" s="33" t="n">
        <v>0</v>
      </c>
      <c r="E99" s="34" t="n">
        <v>6.858916</v>
      </c>
      <c r="F99" s="33" t="n">
        <v>441216.07</v>
      </c>
      <c r="G99" s="33" t="n">
        <v>441216.07</v>
      </c>
      <c r="H99" s="39" t="n">
        <v>-58783.93</v>
      </c>
      <c r="I99" s="40" t="n">
        <v>-0.1176</v>
      </c>
      <c r="J99" s="32" t="inlineStr">
        <is>
          <t>ขาย</t>
        </is>
      </c>
      <c r="K99" s="32" t="n">
        <v>0</v>
      </c>
      <c r="L99" s="32" t="n">
        <v>0</v>
      </c>
      <c r="M99" s="32" t="n">
        <v>15</v>
      </c>
    </row>
    <row r="100">
      <c r="A100" s="27" t="n">
        <v>99</v>
      </c>
      <c r="B100" s="27" t="inlineStr">
        <is>
          <t>2026-07-25</t>
        </is>
      </c>
      <c r="C100" s="28" t="n">
        <v>64564.96</v>
      </c>
      <c r="D100" s="28" t="n">
        <v>0</v>
      </c>
      <c r="E100" s="29" t="n">
        <v>6.858916</v>
      </c>
      <c r="F100" s="28" t="n">
        <v>442845.7</v>
      </c>
      <c r="G100" s="28" t="n">
        <v>442845.7</v>
      </c>
      <c r="H100" s="37" t="n">
        <v>-57154.3</v>
      </c>
      <c r="I100" s="38" t="n">
        <v>-0.1143</v>
      </c>
      <c r="J100" s="27" t="inlineStr">
        <is>
          <t>ซื้อ</t>
        </is>
      </c>
      <c r="K100" s="27" t="n">
        <v>0</v>
      </c>
      <c r="L100" s="27" t="n">
        <v>0</v>
      </c>
      <c r="M100" s="27" t="n">
        <v>15</v>
      </c>
    </row>
    <row r="101">
      <c r="A101" s="32" t="n">
        <v>100</v>
      </c>
      <c r="B101" s="32" t="inlineStr">
        <is>
          <t>2026-07-26</t>
        </is>
      </c>
      <c r="C101" s="33" t="n">
        <v>64805.35</v>
      </c>
      <c r="D101" s="33" t="n">
        <v>0</v>
      </c>
      <c r="E101" s="34" t="n">
        <v>6.858916</v>
      </c>
      <c r="F101" s="33" t="n">
        <v>444494.49</v>
      </c>
      <c r="G101" s="33" t="n">
        <v>444494.49</v>
      </c>
      <c r="H101" s="39" t="n">
        <v>-55505.51</v>
      </c>
      <c r="I101" s="40" t="n">
        <v>-0.111</v>
      </c>
      <c r="J101" s="32" t="inlineStr">
        <is>
          <t>ซื้อ</t>
        </is>
      </c>
      <c r="K101" s="32" t="n">
        <v>0</v>
      </c>
      <c r="L101" s="32" t="n">
        <v>0</v>
      </c>
      <c r="M101" s="32" t="n">
        <v>15</v>
      </c>
    </row>
    <row r="102">
      <c r="A102" s="27" t="n">
        <v>101</v>
      </c>
      <c r="B102" s="27" t="inlineStr">
        <is>
          <t>2026-07-27</t>
        </is>
      </c>
      <c r="C102" s="28" t="n">
        <v>64891.57</v>
      </c>
      <c r="D102" s="28" t="n">
        <v>0</v>
      </c>
      <c r="E102" s="29" t="n">
        <v>6.858916</v>
      </c>
      <c r="F102" s="28" t="n">
        <v>445085.89</v>
      </c>
      <c r="G102" s="28" t="n">
        <v>445085.89</v>
      </c>
      <c r="H102" s="37" t="n">
        <v>-54914.11</v>
      </c>
      <c r="I102" s="38" t="n">
        <v>-0.1098</v>
      </c>
      <c r="J102" s="27" t="inlineStr">
        <is>
          <t>ซื้อ</t>
        </is>
      </c>
      <c r="K102" s="27" t="n">
        <v>0</v>
      </c>
      <c r="L102" s="27" t="n">
        <v>0</v>
      </c>
      <c r="M102" s="27" t="n">
        <v>15</v>
      </c>
    </row>
    <row r="103">
      <c r="A103" s="32" t="n">
        <v>102</v>
      </c>
      <c r="B103" s="32" t="inlineStr">
        <is>
          <t>2026-07-28</t>
        </is>
      </c>
      <c r="C103" s="33" t="n">
        <v>64372.23</v>
      </c>
      <c r="D103" s="33" t="n">
        <v>0</v>
      </c>
      <c r="E103" s="34" t="n">
        <v>6.858916</v>
      </c>
      <c r="F103" s="33" t="n">
        <v>441523.73</v>
      </c>
      <c r="G103" s="33" t="n">
        <v>441523.73</v>
      </c>
      <c r="H103" s="39" t="n">
        <v>-58476.27</v>
      </c>
      <c r="I103" s="40" t="n">
        <v>-0.117</v>
      </c>
      <c r="J103" s="32" t="inlineStr">
        <is>
          <t>ขาย</t>
        </is>
      </c>
      <c r="K103" s="32" t="n">
        <v>0</v>
      </c>
      <c r="L103" s="32" t="n">
        <v>0</v>
      </c>
      <c r="M103" s="32" t="n">
        <v>15</v>
      </c>
    </row>
    <row r="104">
      <c r="A104" s="27" t="n">
        <v>103</v>
      </c>
      <c r="B104" s="27" t="inlineStr">
        <is>
          <t>2026-07-29</t>
        </is>
      </c>
      <c r="C104" s="28" t="n">
        <v>63687.48</v>
      </c>
      <c r="D104" s="28" t="n">
        <v>0</v>
      </c>
      <c r="E104" s="29" t="n">
        <v>6.858916</v>
      </c>
      <c r="F104" s="28" t="n">
        <v>436827.12</v>
      </c>
      <c r="G104" s="28" t="n">
        <v>436827.12</v>
      </c>
      <c r="H104" s="37" t="n">
        <v>-63172.88</v>
      </c>
      <c r="I104" s="38" t="n">
        <v>-0.1263</v>
      </c>
      <c r="J104" s="27" t="inlineStr">
        <is>
          <t>ถือ</t>
        </is>
      </c>
      <c r="K104" s="27" t="n">
        <v>0</v>
      </c>
      <c r="L104" s="27" t="n">
        <v>0</v>
      </c>
      <c r="M104" s="27" t="n">
        <v>15</v>
      </c>
    </row>
    <row r="105">
      <c r="A105" s="32" t="n">
        <v>104</v>
      </c>
      <c r="B105" s="32" t="inlineStr">
        <is>
          <t>2026-07-30</t>
        </is>
      </c>
      <c r="C105" s="33" t="n">
        <v>65166.77</v>
      </c>
      <c r="D105" s="33" t="n">
        <v>0</v>
      </c>
      <c r="E105" s="34" t="n">
        <v>6.858916</v>
      </c>
      <c r="F105" s="33" t="n">
        <v>446973.43</v>
      </c>
      <c r="G105" s="33" t="n">
        <v>446973.43</v>
      </c>
      <c r="H105" s="39" t="n">
        <v>-53026.57</v>
      </c>
      <c r="I105" s="40" t="n">
        <v>-0.1061</v>
      </c>
      <c r="J105" s="32" t="inlineStr">
        <is>
          <t>ซื้อ</t>
        </is>
      </c>
      <c r="K105" s="32" t="n">
        <v>0</v>
      </c>
      <c r="L105" s="32" t="n">
        <v>0</v>
      </c>
      <c r="M105" s="32" t="n">
        <v>15</v>
      </c>
    </row>
    <row r="106">
      <c r="A106" s="27" t="n">
        <v>105</v>
      </c>
      <c r="B106" s="27" t="inlineStr">
        <is>
          <t>2026-07-31</t>
        </is>
      </c>
      <c r="C106" s="28" t="n">
        <v>65425.99</v>
      </c>
      <c r="D106" s="28" t="n">
        <v>0</v>
      </c>
      <c r="E106" s="29" t="n">
        <v>6.858916</v>
      </c>
      <c r="F106" s="28" t="n">
        <v>448751.39</v>
      </c>
      <c r="G106" s="28" t="n">
        <v>448751.39</v>
      </c>
      <c r="H106" s="37" t="n">
        <v>-51248.61</v>
      </c>
      <c r="I106" s="38" t="n">
        <v>-0.1025</v>
      </c>
      <c r="J106" s="27" t="inlineStr">
        <is>
          <t>ถือ</t>
        </is>
      </c>
      <c r="K106" s="27" t="n">
        <v>0</v>
      </c>
      <c r="L106" s="27" t="n">
        <v>0</v>
      </c>
      <c r="M106" s="27" t="n">
        <v>15</v>
      </c>
    </row>
    <row r="107">
      <c r="A107" s="32" t="n">
        <v>106</v>
      </c>
      <c r="B107" s="32" t="inlineStr">
        <is>
          <t>2026-08-01</t>
        </is>
      </c>
      <c r="C107" s="33" t="n">
        <v>64724.54</v>
      </c>
      <c r="D107" s="33" t="n">
        <v>0</v>
      </c>
      <c r="E107" s="34" t="n">
        <v>6.858916</v>
      </c>
      <c r="F107" s="33" t="n">
        <v>443940.19</v>
      </c>
      <c r="G107" s="33" t="n">
        <v>443940.19</v>
      </c>
      <c r="H107" s="39" t="n">
        <v>-56059.81</v>
      </c>
      <c r="I107" s="40" t="n">
        <v>-0.1121</v>
      </c>
      <c r="J107" s="32" t="inlineStr">
        <is>
          <t>ขาย</t>
        </is>
      </c>
      <c r="K107" s="32" t="n">
        <v>0</v>
      </c>
      <c r="L107" s="32" t="n">
        <v>0</v>
      </c>
      <c r="M107" s="32" t="n">
        <v>15</v>
      </c>
    </row>
    <row r="108">
      <c r="A108" s="27" t="n">
        <v>107</v>
      </c>
      <c r="B108" s="27" t="inlineStr">
        <is>
          <t>2026-08-02</t>
        </is>
      </c>
      <c r="C108" s="28" t="n">
        <v>64857.19</v>
      </c>
      <c r="D108" s="28" t="n">
        <v>0</v>
      </c>
      <c r="E108" s="29" t="n">
        <v>6.858916</v>
      </c>
      <c r="F108" s="28" t="n">
        <v>444850.02</v>
      </c>
      <c r="G108" s="28" t="n">
        <v>444850.02</v>
      </c>
      <c r="H108" s="37" t="n">
        <v>-55149.98</v>
      </c>
      <c r="I108" s="38" t="n">
        <v>-0.1103</v>
      </c>
      <c r="J108" s="27" t="inlineStr">
        <is>
          <t>ขาย</t>
        </is>
      </c>
      <c r="K108" s="27" t="n">
        <v>0</v>
      </c>
      <c r="L108" s="27" t="n">
        <v>0</v>
      </c>
      <c r="M108" s="27" t="n">
        <v>15</v>
      </c>
    </row>
    <row r="109">
      <c r="A109" s="32" t="n">
        <v>108</v>
      </c>
      <c r="B109" s="32" t="inlineStr">
        <is>
          <t>2026-08-03</t>
        </is>
      </c>
      <c r="C109" s="33" t="n">
        <v>64791.04</v>
      </c>
      <c r="D109" s="33" t="n">
        <v>0</v>
      </c>
      <c r="E109" s="34" t="n">
        <v>6.858916</v>
      </c>
      <c r="F109" s="33" t="n">
        <v>444396.31</v>
      </c>
      <c r="G109" s="33" t="n">
        <v>444396.31</v>
      </c>
      <c r="H109" s="39" t="n">
        <v>-55603.69</v>
      </c>
      <c r="I109" s="40" t="n">
        <v>-0.1112</v>
      </c>
      <c r="J109" s="32" t="inlineStr">
        <is>
          <t>ถือ</t>
        </is>
      </c>
      <c r="K109" s="32" t="n">
        <v>0</v>
      </c>
      <c r="L109" s="32" t="n">
        <v>0</v>
      </c>
      <c r="M109" s="32" t="n">
        <v>15</v>
      </c>
    </row>
    <row r="110">
      <c r="A110" s="27" t="n">
        <v>109</v>
      </c>
      <c r="B110" s="27" t="inlineStr">
        <is>
          <t>2026-08-04</t>
        </is>
      </c>
      <c r="C110" s="28" t="n">
        <v>65020.9</v>
      </c>
      <c r="D110" s="28" t="n">
        <v>0</v>
      </c>
      <c r="E110" s="29" t="n">
        <v>6.858916</v>
      </c>
      <c r="F110" s="28" t="n">
        <v>445972.91</v>
      </c>
      <c r="G110" s="28" t="n">
        <v>445972.91</v>
      </c>
      <c r="H110" s="37" t="n">
        <v>-54027.09</v>
      </c>
      <c r="I110" s="38" t="n">
        <v>-0.1081</v>
      </c>
      <c r="J110" s="27" t="inlineStr">
        <is>
          <t>ถือ</t>
        </is>
      </c>
      <c r="K110" s="27" t="n">
        <v>0</v>
      </c>
      <c r="L110" s="27" t="n">
        <v>0</v>
      </c>
      <c r="M110" s="27" t="n">
        <v>15</v>
      </c>
    </row>
    <row r="111">
      <c r="A111" s="32" t="n">
        <v>110</v>
      </c>
      <c r="B111" s="32" t="inlineStr">
        <is>
          <t>2026-08-05</t>
        </is>
      </c>
      <c r="C111" s="33" t="n">
        <v>65763.32000000001</v>
      </c>
      <c r="D111" s="33" t="n">
        <v>0</v>
      </c>
      <c r="E111" s="34" t="n">
        <v>6.858916</v>
      </c>
      <c r="F111" s="33" t="n">
        <v>451065.1</v>
      </c>
      <c r="G111" s="33" t="n">
        <v>451065.1</v>
      </c>
      <c r="H111" s="39" t="n">
        <v>-48934.9</v>
      </c>
      <c r="I111" s="40" t="n">
        <v>-0.09789999999999999</v>
      </c>
      <c r="J111" s="32" t="inlineStr">
        <is>
          <t>ซื้อ</t>
        </is>
      </c>
      <c r="K111" s="32" t="n">
        <v>0</v>
      </c>
      <c r="L111" s="32" t="n">
        <v>0</v>
      </c>
      <c r="M111" s="32" t="n">
        <v>15</v>
      </c>
    </row>
    <row r="112">
      <c r="A112" s="27" t="n">
        <v>111</v>
      </c>
      <c r="B112" s="27" t="inlineStr">
        <is>
          <t>2026-08-06</t>
        </is>
      </c>
      <c r="C112" s="28" t="n">
        <v>67479.07000000001</v>
      </c>
      <c r="D112" s="28" t="n">
        <v>0</v>
      </c>
      <c r="E112" s="29" t="n">
        <v>6.858916</v>
      </c>
      <c r="F112" s="28" t="n">
        <v>462833.31</v>
      </c>
      <c r="G112" s="28" t="n">
        <v>462833.31</v>
      </c>
      <c r="H112" s="37" t="n">
        <v>-37166.69</v>
      </c>
      <c r="I112" s="38" t="n">
        <v>-0.07429999999999999</v>
      </c>
      <c r="J112" s="27" t="inlineStr">
        <is>
          <t>ถือ</t>
        </is>
      </c>
      <c r="K112" s="27" t="n">
        <v>0</v>
      </c>
      <c r="L112" s="27" t="n">
        <v>0</v>
      </c>
      <c r="M112" s="27" t="n">
        <v>15</v>
      </c>
    </row>
    <row r="113">
      <c r="A113" s="32" t="n">
        <v>112</v>
      </c>
      <c r="B113" s="32" t="inlineStr">
        <is>
          <t>2026-08-07</t>
        </is>
      </c>
      <c r="C113" s="33" t="n">
        <v>67755.25</v>
      </c>
      <c r="D113" s="33" t="n">
        <v>0</v>
      </c>
      <c r="E113" s="34" t="n">
        <v>6.858916</v>
      </c>
      <c r="F113" s="33" t="n">
        <v>464727.63</v>
      </c>
      <c r="G113" s="33" t="n">
        <v>464727.63</v>
      </c>
      <c r="H113" s="39" t="n">
        <v>-35272.37</v>
      </c>
      <c r="I113" s="40" t="n">
        <v>-0.07049999999999999</v>
      </c>
      <c r="J113" s="32" t="inlineStr">
        <is>
          <t>ขาย</t>
        </is>
      </c>
      <c r="K113" s="32" t="n">
        <v>0</v>
      </c>
      <c r="L113" s="32" t="n">
        <v>0</v>
      </c>
      <c r="M113" s="32" t="n">
        <v>15</v>
      </c>
    </row>
    <row r="114">
      <c r="A114" s="27" t="n">
        <v>113</v>
      </c>
      <c r="B114" s="27" t="inlineStr">
        <is>
          <t>2026-08-08</t>
        </is>
      </c>
      <c r="C114" s="28" t="n">
        <v>68734.53999999999</v>
      </c>
      <c r="D114" s="28" t="n">
        <v>0</v>
      </c>
      <c r="E114" s="29" t="n">
        <v>6.858916</v>
      </c>
      <c r="F114" s="28" t="n">
        <v>471444.45</v>
      </c>
      <c r="G114" s="28" t="n">
        <v>471444.45</v>
      </c>
      <c r="H114" s="37" t="n">
        <v>-28555.55</v>
      </c>
      <c r="I114" s="38" t="n">
        <v>-0.0571</v>
      </c>
      <c r="J114" s="27" t="inlineStr">
        <is>
          <t>ซื้อ</t>
        </is>
      </c>
      <c r="K114" s="27" t="n">
        <v>0</v>
      </c>
      <c r="L114" s="27" t="n">
        <v>0</v>
      </c>
      <c r="M114" s="27" t="n">
        <v>15</v>
      </c>
    </row>
    <row r="115">
      <c r="A115" s="32" t="n">
        <v>114</v>
      </c>
      <c r="B115" s="32" t="inlineStr">
        <is>
          <t>2026-08-09</t>
        </is>
      </c>
      <c r="C115" s="33" t="n">
        <v>68709.56</v>
      </c>
      <c r="D115" s="33" t="n">
        <v>0</v>
      </c>
      <c r="E115" s="34" t="n">
        <v>6.858916</v>
      </c>
      <c r="F115" s="33" t="n">
        <v>471273.11</v>
      </c>
      <c r="G115" s="33" t="n">
        <v>471273.11</v>
      </c>
      <c r="H115" s="39" t="n">
        <v>-28726.89</v>
      </c>
      <c r="I115" s="40" t="n">
        <v>-0.0575</v>
      </c>
      <c r="J115" s="32" t="inlineStr">
        <is>
          <t>ขาย</t>
        </is>
      </c>
      <c r="K115" s="32" t="n">
        <v>0</v>
      </c>
      <c r="L115" s="32" t="n">
        <v>0</v>
      </c>
      <c r="M115" s="32" t="n">
        <v>15</v>
      </c>
    </row>
    <row r="116">
      <c r="A116" s="27" t="n">
        <v>115</v>
      </c>
      <c r="B116" s="27" t="inlineStr">
        <is>
          <t>2026-08-10</t>
        </is>
      </c>
      <c r="C116" s="28" t="n">
        <v>68443.82000000001</v>
      </c>
      <c r="D116" s="28" t="n">
        <v>0</v>
      </c>
      <c r="E116" s="29" t="n">
        <v>6.858916</v>
      </c>
      <c r="F116" s="28" t="n">
        <v>469450.46</v>
      </c>
      <c r="G116" s="28" t="n">
        <v>469450.46</v>
      </c>
      <c r="H116" s="37" t="n">
        <v>-30549.54</v>
      </c>
      <c r="I116" s="38" t="n">
        <v>-0.0611</v>
      </c>
      <c r="J116" s="27" t="inlineStr">
        <is>
          <t>ถือ</t>
        </is>
      </c>
      <c r="K116" s="27" t="n">
        <v>0</v>
      </c>
      <c r="L116" s="27" t="n">
        <v>0</v>
      </c>
      <c r="M116" s="27" t="n">
        <v>15</v>
      </c>
    </row>
    <row r="117">
      <c r="A117" s="32" t="n">
        <v>116</v>
      </c>
      <c r="B117" s="32" t="inlineStr">
        <is>
          <t>2026-08-11</t>
        </is>
      </c>
      <c r="C117" s="33" t="n">
        <v>69866.75999999999</v>
      </c>
      <c r="D117" s="33" t="n">
        <v>0</v>
      </c>
      <c r="E117" s="34" t="n">
        <v>6.858916</v>
      </c>
      <c r="F117" s="33" t="n">
        <v>479210.28</v>
      </c>
      <c r="G117" s="33" t="n">
        <v>479210.28</v>
      </c>
      <c r="H117" s="39" t="n">
        <v>-20789.72</v>
      </c>
      <c r="I117" s="40" t="n">
        <v>-0.0416</v>
      </c>
      <c r="J117" s="32" t="inlineStr">
        <is>
          <t>ซื้อ</t>
        </is>
      </c>
      <c r="K117" s="32" t="n">
        <v>0</v>
      </c>
      <c r="L117" s="32" t="n">
        <v>0</v>
      </c>
      <c r="M117" s="32" t="n">
        <v>15</v>
      </c>
    </row>
    <row r="118">
      <c r="A118" s="27" t="n">
        <v>117</v>
      </c>
      <c r="B118" s="27" t="inlineStr">
        <is>
          <t>2026-08-12</t>
        </is>
      </c>
      <c r="C118" s="28" t="n">
        <v>69865.39</v>
      </c>
      <c r="D118" s="28" t="n">
        <v>0</v>
      </c>
      <c r="E118" s="29" t="n">
        <v>6.858916</v>
      </c>
      <c r="F118" s="28" t="n">
        <v>479200.9</v>
      </c>
      <c r="G118" s="28" t="n">
        <v>479200.9</v>
      </c>
      <c r="H118" s="37" t="n">
        <v>-20799.1</v>
      </c>
      <c r="I118" s="38" t="n">
        <v>-0.0416</v>
      </c>
      <c r="J118" s="27" t="inlineStr">
        <is>
          <t>ถือ</t>
        </is>
      </c>
      <c r="K118" s="27" t="n">
        <v>0</v>
      </c>
      <c r="L118" s="27" t="n">
        <v>0</v>
      </c>
      <c r="M118" s="27" t="n">
        <v>15</v>
      </c>
    </row>
    <row r="119">
      <c r="A119" s="32" t="n">
        <v>118</v>
      </c>
      <c r="B119" s="32" t="inlineStr">
        <is>
          <t>2026-08-13</t>
        </is>
      </c>
      <c r="C119" s="33" t="n">
        <v>69798.17</v>
      </c>
      <c r="D119" s="33" t="n">
        <v>0</v>
      </c>
      <c r="E119" s="34" t="n">
        <v>6.858916</v>
      </c>
      <c r="F119" s="33" t="n">
        <v>478739.82</v>
      </c>
      <c r="G119" s="33" t="n">
        <v>478739.82</v>
      </c>
      <c r="H119" s="39" t="n">
        <v>-21260.18</v>
      </c>
      <c r="I119" s="40" t="n">
        <v>-0.0425</v>
      </c>
      <c r="J119" s="32" t="inlineStr">
        <is>
          <t>ถือ</t>
        </is>
      </c>
      <c r="K119" s="32" t="n">
        <v>0</v>
      </c>
      <c r="L119" s="32" t="n">
        <v>0</v>
      </c>
      <c r="M119" s="32" t="n">
        <v>15</v>
      </c>
    </row>
    <row r="120">
      <c r="A120" s="27" t="n">
        <v>119</v>
      </c>
      <c r="B120" s="27" t="inlineStr">
        <is>
          <t>2026-08-14</t>
        </is>
      </c>
      <c r="C120" s="28" t="n">
        <v>68782.31</v>
      </c>
      <c r="D120" s="28" t="n">
        <v>0</v>
      </c>
      <c r="E120" s="29" t="n">
        <v>6.858916</v>
      </c>
      <c r="F120" s="28" t="n">
        <v>471772.12</v>
      </c>
      <c r="G120" s="28" t="n">
        <v>471772.12</v>
      </c>
      <c r="H120" s="37" t="n">
        <v>-28227.88</v>
      </c>
      <c r="I120" s="38" t="n">
        <v>-0.0565</v>
      </c>
      <c r="J120" s="27" t="inlineStr">
        <is>
          <t>ขาย</t>
        </is>
      </c>
      <c r="K120" s="27" t="n">
        <v>0</v>
      </c>
      <c r="L120" s="27" t="n">
        <v>0</v>
      </c>
      <c r="M120" s="27" t="n">
        <v>15</v>
      </c>
    </row>
    <row r="121">
      <c r="A121" s="32" t="n">
        <v>120</v>
      </c>
      <c r="B121" s="32" t="inlineStr">
        <is>
          <t>2026-08-15</t>
        </is>
      </c>
      <c r="C121" s="33" t="n">
        <v>69360.71000000001</v>
      </c>
      <c r="D121" s="33" t="n">
        <v>0</v>
      </c>
      <c r="E121" s="34" t="n">
        <v>6.858916</v>
      </c>
      <c r="F121" s="33" t="n">
        <v>475739.29</v>
      </c>
      <c r="G121" s="33" t="n">
        <v>475739.29</v>
      </c>
      <c r="H121" s="39" t="n">
        <v>-24260.71</v>
      </c>
      <c r="I121" s="40" t="n">
        <v>-0.04849999999999999</v>
      </c>
      <c r="J121" s="32" t="inlineStr">
        <is>
          <t>ซื้อ</t>
        </is>
      </c>
      <c r="K121" s="32" t="n">
        <v>0</v>
      </c>
      <c r="L121" s="32" t="n">
        <v>0</v>
      </c>
      <c r="M121" s="32" t="n">
        <v>15</v>
      </c>
    </row>
    <row r="122">
      <c r="A122" s="27" t="n">
        <v>121</v>
      </c>
      <c r="B122" s="27" t="inlineStr">
        <is>
          <t>2026-08-16</t>
        </is>
      </c>
      <c r="C122" s="28" t="n">
        <v>69443.64999999999</v>
      </c>
      <c r="D122" s="28" t="n">
        <v>0</v>
      </c>
      <c r="E122" s="29" t="n">
        <v>6.858916</v>
      </c>
      <c r="F122" s="28" t="n">
        <v>476308.19</v>
      </c>
      <c r="G122" s="28" t="n">
        <v>476308.19</v>
      </c>
      <c r="H122" s="37" t="n">
        <v>-23691.81</v>
      </c>
      <c r="I122" s="38" t="n">
        <v>-0.0474</v>
      </c>
      <c r="J122" s="27" t="inlineStr">
        <is>
          <t>ซื้อ</t>
        </is>
      </c>
      <c r="K122" s="27" t="n">
        <v>0</v>
      </c>
      <c r="L122" s="27" t="n">
        <v>0</v>
      </c>
      <c r="M122" s="27" t="n">
        <v>15</v>
      </c>
    </row>
    <row r="123">
      <c r="A123" s="32" t="n">
        <v>122</v>
      </c>
      <c r="B123" s="32" t="inlineStr">
        <is>
          <t>2026-08-17</t>
        </is>
      </c>
      <c r="C123" s="33" t="n">
        <v>69594.91</v>
      </c>
      <c r="D123" s="33" t="n">
        <v>0</v>
      </c>
      <c r="E123" s="34" t="n">
        <v>6.858916</v>
      </c>
      <c r="F123" s="33" t="n">
        <v>477345.65</v>
      </c>
      <c r="G123" s="33" t="n">
        <v>477345.65</v>
      </c>
      <c r="H123" s="39" t="n">
        <v>-22654.35</v>
      </c>
      <c r="I123" s="40" t="n">
        <v>-0.0453</v>
      </c>
      <c r="J123" s="32" t="inlineStr">
        <is>
          <t>ซื้อ</t>
        </is>
      </c>
      <c r="K123" s="32" t="n">
        <v>0</v>
      </c>
      <c r="L123" s="32" t="n">
        <v>0</v>
      </c>
      <c r="M123" s="32" t="n">
        <v>15</v>
      </c>
    </row>
    <row r="124">
      <c r="A124" s="27" t="n">
        <v>123</v>
      </c>
      <c r="B124" s="27" t="inlineStr">
        <is>
          <t>2026-08-18</t>
        </is>
      </c>
      <c r="C124" s="28" t="n">
        <v>69535.71000000001</v>
      </c>
      <c r="D124" s="28" t="n">
        <v>0</v>
      </c>
      <c r="E124" s="29" t="n">
        <v>6.858916</v>
      </c>
      <c r="F124" s="28" t="n">
        <v>476939.59</v>
      </c>
      <c r="G124" s="28" t="n">
        <v>476939.59</v>
      </c>
      <c r="H124" s="37" t="n">
        <v>-23060.41</v>
      </c>
      <c r="I124" s="38" t="n">
        <v>-0.0461</v>
      </c>
      <c r="J124" s="27" t="inlineStr">
        <is>
          <t>ถือ</t>
        </is>
      </c>
      <c r="K124" s="27" t="n">
        <v>0</v>
      </c>
      <c r="L124" s="27" t="n">
        <v>0</v>
      </c>
      <c r="M124" s="27" t="n">
        <v>15</v>
      </c>
    </row>
    <row r="125">
      <c r="A125" s="32" t="n">
        <v>124</v>
      </c>
      <c r="B125" s="32" t="inlineStr">
        <is>
          <t>2026-08-19</t>
        </is>
      </c>
      <c r="C125" s="33" t="n">
        <v>68994.5</v>
      </c>
      <c r="D125" s="33" t="n">
        <v>0</v>
      </c>
      <c r="E125" s="34" t="n">
        <v>6.858916</v>
      </c>
      <c r="F125" s="33" t="n">
        <v>473227.5</v>
      </c>
      <c r="G125" s="33" t="n">
        <v>473227.5</v>
      </c>
      <c r="H125" s="39" t="n">
        <v>-26772.5</v>
      </c>
      <c r="I125" s="40" t="n">
        <v>-0.0535</v>
      </c>
      <c r="J125" s="32" t="inlineStr">
        <is>
          <t>ขาย</t>
        </is>
      </c>
      <c r="K125" s="32" t="n">
        <v>0</v>
      </c>
      <c r="L125" s="32" t="n">
        <v>0</v>
      </c>
      <c r="M125" s="32" t="n">
        <v>15</v>
      </c>
    </row>
    <row r="126">
      <c r="A126" s="27" t="n">
        <v>125</v>
      </c>
      <c r="B126" s="27" t="inlineStr">
        <is>
          <t>2026-08-20</t>
        </is>
      </c>
      <c r="C126" s="28" t="n">
        <v>70755.5</v>
      </c>
      <c r="D126" s="28" t="n">
        <v>0</v>
      </c>
      <c r="E126" s="29" t="n">
        <v>6.858916</v>
      </c>
      <c r="F126" s="28" t="n">
        <v>485306.07</v>
      </c>
      <c r="G126" s="28" t="n">
        <v>485306.07</v>
      </c>
      <c r="H126" s="37" t="n">
        <v>-14693.93</v>
      </c>
      <c r="I126" s="38" t="n">
        <v>-0.0294</v>
      </c>
      <c r="J126" s="27" t="inlineStr">
        <is>
          <t>ซื้อ</t>
        </is>
      </c>
      <c r="K126" s="27" t="n">
        <v>0</v>
      </c>
      <c r="L126" s="27" t="n">
        <v>0</v>
      </c>
      <c r="M126" s="27" t="n">
        <v>15</v>
      </c>
    </row>
    <row r="127">
      <c r="A127" s="32" t="n">
        <v>126</v>
      </c>
      <c r="B127" s="32" t="inlineStr">
        <is>
          <t>2026-08-21</t>
        </is>
      </c>
      <c r="C127" s="33" t="n">
        <v>71127.84</v>
      </c>
      <c r="D127" s="33" t="n">
        <v>0</v>
      </c>
      <c r="E127" s="34" t="n">
        <v>6.858916</v>
      </c>
      <c r="F127" s="33" t="n">
        <v>487859.94</v>
      </c>
      <c r="G127" s="33" t="n">
        <v>487859.94</v>
      </c>
      <c r="H127" s="39" t="n">
        <v>-12140.06</v>
      </c>
      <c r="I127" s="40" t="n">
        <v>-0.0243</v>
      </c>
      <c r="J127" s="32" t="inlineStr">
        <is>
          <t>ถือ</t>
        </is>
      </c>
      <c r="K127" s="32" t="n">
        <v>0</v>
      </c>
      <c r="L127" s="32" t="n">
        <v>0</v>
      </c>
      <c r="M127" s="32" t="n">
        <v>15</v>
      </c>
    </row>
    <row r="128">
      <c r="A128" s="27" t="n">
        <v>127</v>
      </c>
      <c r="B128" s="27" t="inlineStr">
        <is>
          <t>2026-08-22</t>
        </is>
      </c>
      <c r="C128" s="28" t="n">
        <v>72005.92</v>
      </c>
      <c r="D128" s="28" t="n">
        <v>0</v>
      </c>
      <c r="E128" s="29" t="n">
        <v>6.858916</v>
      </c>
      <c r="F128" s="28" t="n">
        <v>493882.57</v>
      </c>
      <c r="G128" s="28" t="n">
        <v>493882.57</v>
      </c>
      <c r="H128" s="37" t="n">
        <v>-6117.43</v>
      </c>
      <c r="I128" s="38" t="n">
        <v>-0.0122</v>
      </c>
      <c r="J128" s="27" t="inlineStr">
        <is>
          <t>ซื้อ</t>
        </is>
      </c>
      <c r="K128" s="27" t="n">
        <v>0</v>
      </c>
      <c r="L128" s="27" t="n">
        <v>0</v>
      </c>
      <c r="M128" s="27" t="n">
        <v>15</v>
      </c>
    </row>
    <row r="129">
      <c r="A129" s="32" t="n">
        <v>128</v>
      </c>
      <c r="B129" s="32" t="inlineStr">
        <is>
          <t>2026-08-23</t>
        </is>
      </c>
      <c r="C129" s="33" t="n">
        <v>72299.39999999999</v>
      </c>
      <c r="D129" s="33" t="n">
        <v>0</v>
      </c>
      <c r="E129" s="34" t="n">
        <v>6.858916</v>
      </c>
      <c r="F129" s="33" t="n">
        <v>495895.56</v>
      </c>
      <c r="G129" s="33" t="n">
        <v>495895.56</v>
      </c>
      <c r="H129" s="39" t="n">
        <v>-4104.44</v>
      </c>
      <c r="I129" s="40" t="n">
        <v>-0.008199999999999999</v>
      </c>
      <c r="J129" s="32" t="inlineStr">
        <is>
          <t>ซื้อ</t>
        </is>
      </c>
      <c r="K129" s="32" t="n">
        <v>0</v>
      </c>
      <c r="L129" s="32" t="n">
        <v>0</v>
      </c>
      <c r="M129" s="32" t="n">
        <v>15</v>
      </c>
    </row>
    <row r="130">
      <c r="A130" s="27" t="n">
        <v>129</v>
      </c>
      <c r="B130" s="27" t="inlineStr">
        <is>
          <t>2026-08-24</t>
        </is>
      </c>
      <c r="C130" s="28" t="n">
        <v>72312.45</v>
      </c>
      <c r="D130" s="28" t="n">
        <v>0</v>
      </c>
      <c r="E130" s="29" t="n">
        <v>6.858916</v>
      </c>
      <c r="F130" s="28" t="n">
        <v>495985.05</v>
      </c>
      <c r="G130" s="28" t="n">
        <v>495985.05</v>
      </c>
      <c r="H130" s="37" t="n">
        <v>-4014.95</v>
      </c>
      <c r="I130" s="38" t="n">
        <v>-0.008</v>
      </c>
      <c r="J130" s="27" t="inlineStr">
        <is>
          <t>ขาย</t>
        </is>
      </c>
      <c r="K130" s="27" t="n">
        <v>0</v>
      </c>
      <c r="L130" s="27" t="n">
        <v>0</v>
      </c>
      <c r="M130" s="27" t="n">
        <v>15</v>
      </c>
    </row>
    <row r="131">
      <c r="A131" s="32" t="n">
        <v>130</v>
      </c>
      <c r="B131" s="32" t="inlineStr">
        <is>
          <t>2026-08-25</t>
        </is>
      </c>
      <c r="C131" s="33" t="n">
        <v>72825.46000000001</v>
      </c>
      <c r="D131" s="33" t="n">
        <v>0</v>
      </c>
      <c r="E131" s="34" t="n">
        <v>6.858916</v>
      </c>
      <c r="F131" s="33" t="n">
        <v>499503.74</v>
      </c>
      <c r="G131" s="33" t="n">
        <v>499503.74</v>
      </c>
      <c r="H131" s="39" t="n">
        <v>-496.26</v>
      </c>
      <c r="I131" s="40" t="n">
        <v>-0.001</v>
      </c>
      <c r="J131" s="32" t="inlineStr">
        <is>
          <t>ถือ</t>
        </is>
      </c>
      <c r="K131" s="32" t="n">
        <v>0</v>
      </c>
      <c r="L131" s="32" t="n">
        <v>0</v>
      </c>
      <c r="M131" s="32" t="n">
        <v>15</v>
      </c>
    </row>
    <row r="132">
      <c r="A132" s="27" t="n">
        <v>131</v>
      </c>
      <c r="B132" s="27" t="inlineStr">
        <is>
          <t>2026-08-26</t>
        </is>
      </c>
      <c r="C132" s="28" t="n">
        <v>72980.60000000001</v>
      </c>
      <c r="D132" s="28" t="n">
        <v>0</v>
      </c>
      <c r="E132" s="29" t="n">
        <v>6.858916</v>
      </c>
      <c r="F132" s="28" t="n">
        <v>500567.83</v>
      </c>
      <c r="G132" s="28" t="n">
        <v>500567.83</v>
      </c>
      <c r="H132" s="30" t="n">
        <v>567.83</v>
      </c>
      <c r="I132" s="31" t="n">
        <v>0.0011</v>
      </c>
      <c r="J132" s="27" t="inlineStr">
        <is>
          <t>ซื้อ</t>
        </is>
      </c>
      <c r="K132" s="27" t="n">
        <v>0</v>
      </c>
      <c r="L132" s="27" t="n">
        <v>0</v>
      </c>
      <c r="M132" s="27" t="n">
        <v>15</v>
      </c>
    </row>
    <row r="133">
      <c r="A133" s="32" t="n">
        <v>132</v>
      </c>
      <c r="B133" s="32" t="inlineStr">
        <is>
          <t>2026-08-27</t>
        </is>
      </c>
      <c r="C133" s="33" t="n">
        <v>72253.39999999999</v>
      </c>
      <c r="D133" s="33" t="n">
        <v>0</v>
      </c>
      <c r="E133" s="34" t="n">
        <v>6.858916</v>
      </c>
      <c r="F133" s="33" t="n">
        <v>495580.02</v>
      </c>
      <c r="G133" s="33" t="n">
        <v>495580.02</v>
      </c>
      <c r="H133" s="39" t="n">
        <v>-4419.98</v>
      </c>
      <c r="I133" s="40" t="n">
        <v>-0.008800000000000001</v>
      </c>
      <c r="J133" s="32" t="inlineStr">
        <is>
          <t>ขาย</t>
        </is>
      </c>
      <c r="K133" s="32" t="n">
        <v>0</v>
      </c>
      <c r="L133" s="32" t="n">
        <v>0</v>
      </c>
      <c r="M133" s="32" t="n">
        <v>15</v>
      </c>
    </row>
    <row r="134">
      <c r="A134" s="27" t="n">
        <v>133</v>
      </c>
      <c r="B134" s="27" t="inlineStr">
        <is>
          <t>2026-08-28</t>
        </is>
      </c>
      <c r="C134" s="28" t="n">
        <v>72439.00999999999</v>
      </c>
      <c r="D134" s="28" t="n">
        <v>0</v>
      </c>
      <c r="E134" s="29" t="n">
        <v>6.858916</v>
      </c>
      <c r="F134" s="28" t="n">
        <v>496853.13</v>
      </c>
      <c r="G134" s="28" t="n">
        <v>496853.13</v>
      </c>
      <c r="H134" s="37" t="n">
        <v>-3146.87</v>
      </c>
      <c r="I134" s="38" t="n">
        <v>-0.0063</v>
      </c>
      <c r="J134" s="27" t="inlineStr">
        <is>
          <t>ซื้อ</t>
        </is>
      </c>
      <c r="K134" s="27" t="n">
        <v>0</v>
      </c>
      <c r="L134" s="27" t="n">
        <v>0</v>
      </c>
      <c r="M134" s="27" t="n">
        <v>15</v>
      </c>
    </row>
    <row r="135">
      <c r="A135" s="32" t="n">
        <v>134</v>
      </c>
      <c r="B135" s="32" t="inlineStr">
        <is>
          <t>2026-08-29</t>
        </is>
      </c>
      <c r="C135" s="33" t="n">
        <v>70531.67999999999</v>
      </c>
      <c r="D135" s="33" t="n">
        <v>0</v>
      </c>
      <c r="E135" s="34" t="n">
        <v>6.858916</v>
      </c>
      <c r="F135" s="33" t="n">
        <v>483770.88</v>
      </c>
      <c r="G135" s="33" t="n">
        <v>483770.88</v>
      </c>
      <c r="H135" s="39" t="n">
        <v>-16229.12</v>
      </c>
      <c r="I135" s="40" t="n">
        <v>-0.0325</v>
      </c>
      <c r="J135" s="32" t="inlineStr">
        <is>
          <t>ขาย</t>
        </is>
      </c>
      <c r="K135" s="32" t="n">
        <v>0</v>
      </c>
      <c r="L135" s="32" t="n">
        <v>0</v>
      </c>
      <c r="M135" s="32" t="n">
        <v>15</v>
      </c>
    </row>
    <row r="136">
      <c r="A136" s="27" t="n">
        <v>135</v>
      </c>
      <c r="B136" s="27" t="inlineStr">
        <is>
          <t>2026-08-30</t>
        </is>
      </c>
      <c r="C136" s="28" t="n">
        <v>70935.69</v>
      </c>
      <c r="D136" s="28" t="n">
        <v>0</v>
      </c>
      <c r="E136" s="29" t="n">
        <v>6.858916</v>
      </c>
      <c r="F136" s="28" t="n">
        <v>486541.96</v>
      </c>
      <c r="G136" s="28" t="n">
        <v>486541.96</v>
      </c>
      <c r="H136" s="37" t="n">
        <v>-13458.04</v>
      </c>
      <c r="I136" s="38" t="n">
        <v>-0.0269</v>
      </c>
      <c r="J136" s="27" t="inlineStr">
        <is>
          <t>ขาย</t>
        </is>
      </c>
      <c r="K136" s="27" t="n">
        <v>0</v>
      </c>
      <c r="L136" s="27" t="n">
        <v>0</v>
      </c>
      <c r="M136" s="27" t="n">
        <v>15</v>
      </c>
    </row>
    <row r="137">
      <c r="A137" s="32" t="n">
        <v>136</v>
      </c>
      <c r="B137" s="32" t="inlineStr">
        <is>
          <t>2026-08-31</t>
        </is>
      </c>
      <c r="C137" s="33" t="n">
        <v>70362.95</v>
      </c>
      <c r="D137" s="33" t="n">
        <v>0</v>
      </c>
      <c r="E137" s="34" t="n">
        <v>6.858916</v>
      </c>
      <c r="F137" s="33" t="n">
        <v>482613.58</v>
      </c>
      <c r="G137" s="33" t="n">
        <v>482613.58</v>
      </c>
      <c r="H137" s="39" t="n">
        <v>-17386.42</v>
      </c>
      <c r="I137" s="40" t="n">
        <v>-0.0348</v>
      </c>
      <c r="J137" s="32" t="inlineStr">
        <is>
          <t>ขาย</t>
        </is>
      </c>
      <c r="K137" s="32" t="n">
        <v>0</v>
      </c>
      <c r="L137" s="32" t="n">
        <v>0</v>
      </c>
      <c r="M137" s="32" t="n">
        <v>15</v>
      </c>
    </row>
    <row r="138">
      <c r="A138" s="27" t="n">
        <v>137</v>
      </c>
      <c r="B138" s="27" t="inlineStr">
        <is>
          <t>2026-09-01</t>
        </is>
      </c>
      <c r="C138" s="28" t="n">
        <v>70237.49000000001</v>
      </c>
      <c r="D138" s="28" t="n">
        <v>0</v>
      </c>
      <c r="E138" s="29" t="n">
        <v>6.858916</v>
      </c>
      <c r="F138" s="28" t="n">
        <v>481753.04</v>
      </c>
      <c r="G138" s="28" t="n">
        <v>481753.04</v>
      </c>
      <c r="H138" s="37" t="n">
        <v>-18246.96</v>
      </c>
      <c r="I138" s="38" t="n">
        <v>-0.0365</v>
      </c>
      <c r="J138" s="27" t="inlineStr">
        <is>
          <t>ซื้อ</t>
        </is>
      </c>
      <c r="K138" s="27" t="n">
        <v>0</v>
      </c>
      <c r="L138" s="27" t="n">
        <v>0</v>
      </c>
      <c r="M138" s="27" t="n">
        <v>15</v>
      </c>
    </row>
    <row r="139">
      <c r="A139" s="32" t="n">
        <v>138</v>
      </c>
      <c r="B139" s="32" t="inlineStr">
        <is>
          <t>2026-09-02</t>
        </is>
      </c>
      <c r="C139" s="33" t="n">
        <v>68764.21000000001</v>
      </c>
      <c r="D139" s="33" t="n">
        <v>0</v>
      </c>
      <c r="E139" s="34" t="n">
        <v>6.858916</v>
      </c>
      <c r="F139" s="33" t="n">
        <v>471647.95</v>
      </c>
      <c r="G139" s="33" t="n">
        <v>471647.95</v>
      </c>
      <c r="H139" s="39" t="n">
        <v>-28352.05</v>
      </c>
      <c r="I139" s="40" t="n">
        <v>-0.0567</v>
      </c>
      <c r="J139" s="32" t="inlineStr">
        <is>
          <t>ถือ</t>
        </is>
      </c>
      <c r="K139" s="32" t="n">
        <v>0</v>
      </c>
      <c r="L139" s="32" t="n">
        <v>0</v>
      </c>
      <c r="M139" s="32" t="n">
        <v>15</v>
      </c>
    </row>
    <row r="140">
      <c r="A140" s="27" t="n">
        <v>139</v>
      </c>
      <c r="B140" s="27" t="inlineStr">
        <is>
          <t>2026-09-03</t>
        </is>
      </c>
      <c r="C140" s="28" t="n">
        <v>69688.53999999999</v>
      </c>
      <c r="D140" s="28" t="n">
        <v>0</v>
      </c>
      <c r="E140" s="29" t="n">
        <v>6.858916</v>
      </c>
      <c r="F140" s="28" t="n">
        <v>477987.85</v>
      </c>
      <c r="G140" s="28" t="n">
        <v>477987.85</v>
      </c>
      <c r="H140" s="37" t="n">
        <v>-22012.15</v>
      </c>
      <c r="I140" s="38" t="n">
        <v>-0.044</v>
      </c>
      <c r="J140" s="27" t="inlineStr">
        <is>
          <t>ซื้อ</t>
        </is>
      </c>
      <c r="K140" s="27" t="n">
        <v>0</v>
      </c>
      <c r="L140" s="27" t="n">
        <v>0</v>
      </c>
      <c r="M140" s="27" t="n">
        <v>15</v>
      </c>
    </row>
    <row r="141">
      <c r="A141" s="32" t="n">
        <v>140</v>
      </c>
      <c r="B141" s="32" t="inlineStr">
        <is>
          <t>2026-09-04</t>
        </is>
      </c>
      <c r="C141" s="33" t="n">
        <v>70192.8</v>
      </c>
      <c r="D141" s="33" t="n">
        <v>0</v>
      </c>
      <c r="E141" s="34" t="n">
        <v>6.858916</v>
      </c>
      <c r="F141" s="33" t="n">
        <v>481446.52</v>
      </c>
      <c r="G141" s="33" t="n">
        <v>481446.52</v>
      </c>
      <c r="H141" s="39" t="n">
        <v>-18553.48</v>
      </c>
      <c r="I141" s="40" t="n">
        <v>-0.0371</v>
      </c>
      <c r="J141" s="32" t="inlineStr">
        <is>
          <t>ถือ</t>
        </is>
      </c>
      <c r="K141" s="32" t="n">
        <v>0</v>
      </c>
      <c r="L141" s="32" t="n">
        <v>0</v>
      </c>
      <c r="M141" s="32" t="n">
        <v>15</v>
      </c>
    </row>
    <row r="142">
      <c r="A142" s="27" t="n">
        <v>141</v>
      </c>
      <c r="B142" s="27" t="inlineStr">
        <is>
          <t>2026-09-05</t>
        </is>
      </c>
      <c r="C142" s="28" t="n">
        <v>69602.24000000001</v>
      </c>
      <c r="D142" s="28" t="n">
        <v>0</v>
      </c>
      <c r="E142" s="29" t="n">
        <v>6.858916</v>
      </c>
      <c r="F142" s="28" t="n">
        <v>477395.92</v>
      </c>
      <c r="G142" s="28" t="n">
        <v>477395.92</v>
      </c>
      <c r="H142" s="37" t="n">
        <v>-22604.08</v>
      </c>
      <c r="I142" s="38" t="n">
        <v>-0.0452</v>
      </c>
      <c r="J142" s="27" t="inlineStr">
        <is>
          <t>ขาย</t>
        </is>
      </c>
      <c r="K142" s="27" t="n">
        <v>0</v>
      </c>
      <c r="L142" s="27" t="n">
        <v>0</v>
      </c>
      <c r="M142" s="27" t="n">
        <v>15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2026-09-06T02:44:13Z</dcterms:created>
  <dcterms:modified xmlns:dcterms="http://purl.org/dc/terms/" xmlns:xsi="http://www.w3.org/2001/XMLSchema-instance" xsi:type="dcterms:W3CDTF">2026-09-06T02:44:13Z</dcterms:modified>
</cp:coreProperties>
</file>